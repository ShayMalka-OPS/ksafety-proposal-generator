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ymkabat.sharepoint.com/sites/Operation/Documentos compartidos/Projects/Claude/QBR20206/ProposalGenerator/"/>
    </mc:Choice>
  </mc:AlternateContent>
  <xr:revisionPtr revIDLastSave="339" documentId="13_ncr:1_{139D0631-4351-4E1C-AF3D-36285B91EF76}" xr6:coauthVersionLast="47" xr6:coauthVersionMax="47" xr10:uidLastSave="{EB712D3B-7D7C-49C8-A3EF-E94065DB2D6E}"/>
  <bookViews>
    <workbookView xWindow="-108" yWindow="-108" windowWidth="30936" windowHeight="18696" xr2:uid="{00000000-000D-0000-FFFF-FFFF00000000}"/>
  </bookViews>
  <sheets>
    <sheet name="Data Sizing" sheetId="22" r:id="rId1"/>
  </sheets>
  <definedNames>
    <definedName name="hour_secund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22" l="1"/>
  <c r="Q13" i="22" s="1"/>
  <c r="X13" i="22" s="1"/>
  <c r="M13" i="22"/>
  <c r="H13" i="22"/>
  <c r="F13" i="22"/>
  <c r="D13" i="22"/>
  <c r="T13" i="22" s="1"/>
  <c r="U13" i="22" s="1"/>
  <c r="N12" i="22"/>
  <c r="Q12" i="22" s="1"/>
  <c r="X12" i="22" s="1"/>
  <c r="M12" i="22"/>
  <c r="H12" i="22"/>
  <c r="F12" i="22"/>
  <c r="D12" i="22"/>
  <c r="T12" i="22" s="1"/>
  <c r="U12" i="22" s="1"/>
  <c r="N11" i="22"/>
  <c r="Q11" i="22" s="1"/>
  <c r="X11" i="22" s="1"/>
  <c r="M11" i="22"/>
  <c r="H11" i="22"/>
  <c r="F11" i="22"/>
  <c r="D11" i="22"/>
  <c r="T11" i="22" s="1"/>
  <c r="U11" i="22" s="1"/>
  <c r="N10" i="22"/>
  <c r="O10" i="22" s="1"/>
  <c r="M10" i="22"/>
  <c r="F10" i="22"/>
  <c r="D10" i="22"/>
  <c r="R10" i="22" s="1"/>
  <c r="P10" i="22" l="1"/>
  <c r="W10" i="22" s="1"/>
  <c r="T10" i="22"/>
  <c r="U10" i="22" s="1"/>
  <c r="S10" i="22"/>
  <c r="R12" i="22"/>
  <c r="S12" i="22" s="1"/>
  <c r="Q10" i="22"/>
  <c r="O11" i="22"/>
  <c r="O12" i="22"/>
  <c r="O13" i="22"/>
  <c r="R11" i="22"/>
  <c r="S11" i="22" s="1"/>
  <c r="R13" i="22"/>
  <c r="S13" i="22" s="1"/>
  <c r="P11" i="22"/>
  <c r="W11" i="22" s="1"/>
  <c r="P12" i="22"/>
  <c r="W12" i="22" s="1"/>
  <c r="P13" i="22"/>
  <c r="W13" i="22" s="1"/>
  <c r="N14" i="22"/>
  <c r="T14" i="22" l="1"/>
  <c r="U14" i="22"/>
  <c r="W14" i="22"/>
  <c r="O14" i="22"/>
  <c r="R14" i="22"/>
  <c r="X10" i="22"/>
  <c r="X14" i="22" s="1"/>
  <c r="Q14" i="22"/>
  <c r="P14" i="22"/>
  <c r="S1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shay</author>
    <author>Guy Twena</author>
  </authors>
  <commentList>
    <comment ref="A10" authorId="0" shapeId="0" xr:uid="{E5E00908-88BA-4FBD-AEF5-3A261F01E46F}">
      <text>
        <r>
          <rPr>
            <b/>
            <sz val="9"/>
            <color indexed="81"/>
            <rFont val="Tahoma"/>
            <family val="2"/>
          </rPr>
          <t>LPR Detections - Everage of 2 Lanes 1 cars per sec</t>
        </r>
      </text>
    </comment>
    <comment ref="E10" authorId="1" shapeId="0" xr:uid="{E54BEB95-CD84-4191-BE62-E4AD7AAA67B4}">
      <text>
        <r>
          <rPr>
            <b/>
            <sz val="9"/>
            <color indexed="81"/>
            <rFont val="Tahoma"/>
            <family val="2"/>
          </rPr>
          <t xml:space="preserve">Based on AGS
700,000 Detections  / 214 LPR's / 24 / 60 = 2.5 Detecions per min Avrage
</t>
        </r>
      </text>
    </comment>
  </commentList>
</comments>
</file>

<file path=xl/sharedStrings.xml><?xml version="1.0" encoding="utf-8"?>
<sst xmlns="http://schemas.openxmlformats.org/spreadsheetml/2006/main" count="43" uniqueCount="43">
  <si>
    <t>600GB</t>
  </si>
  <si>
    <t>Disks size</t>
  </si>
  <si>
    <t xml:space="preserve">RAID 10 Min disk </t>
  </si>
  <si>
    <t xml:space="preserve">RAID 5 Min disk </t>
  </si>
  <si>
    <t xml:space="preserve">RAID 6 Min disk </t>
  </si>
  <si>
    <t>hour / secunds</t>
  </si>
  <si>
    <t>Rush hour factor</t>
  </si>
  <si>
    <t>DetectionType</t>
  </si>
  <si>
    <t>Num Of Sensors</t>
  </si>
  <si>
    <t>Detections/Day(Total)</t>
  </si>
  <si>
    <t>MetaDataSize(KB)</t>
  </si>
  <si>
    <t>Detections/Sensor(MAX per sec)</t>
  </si>
  <si>
    <t>Data On Rest Info (input one of the 2)</t>
  </si>
  <si>
    <t>Images/Day</t>
  </si>
  <si>
    <t>Blob Size (KB)</t>
  </si>
  <si>
    <t>Blob Size (KB)2</t>
  </si>
  <si>
    <t>Blob Size (KB)3</t>
  </si>
  <si>
    <t>Blob Size (KB)4</t>
  </si>
  <si>
    <t>Num Of Blobs</t>
  </si>
  <si>
    <t>Images MB/S (Peak/Sec)</t>
  </si>
  <si>
    <t>MetaData MB/S (Peak/Sec)</t>
  </si>
  <si>
    <t>TotalImageSize(KB)</t>
  </si>
  <si>
    <t>Summary - Data On rest</t>
  </si>
  <si>
    <t>Data Sizes - Input</t>
  </si>
  <si>
    <t>Peak Info - (Input the Detections/Sensor)</t>
  </si>
  <si>
    <t>TOTAL MAX Detections/sec</t>
  </si>
  <si>
    <t>AVG Detection/Min per Sensor</t>
  </si>
  <si>
    <t>AVG Detection/Hour per Sensor</t>
  </si>
  <si>
    <t>ImageSize(GB)/Day</t>
  </si>
  <si>
    <t>MetaDataSize(GB)/Day</t>
  </si>
  <si>
    <t>retention Days</t>
  </si>
  <si>
    <t>Total Project</t>
  </si>
  <si>
    <t>Summary - Data On flight - I/Ops</t>
  </si>
  <si>
    <t>Total SizeImages(TB)/Retention</t>
  </si>
  <si>
    <t>Total Size MetaData(TB)/Retention</t>
  </si>
  <si>
    <t>IO Size KB</t>
  </si>
  <si>
    <t xml:space="preserve">Image I/O's </t>
  </si>
  <si>
    <t>MetaData I/O's</t>
  </si>
  <si>
    <t>Total</t>
  </si>
  <si>
    <t>LPR</t>
  </si>
  <si>
    <t>FR</t>
  </si>
  <si>
    <t>VA</t>
  </si>
  <si>
    <t>C-Share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</si>
</sst>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9" applyNumberForma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165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9" fillId="0" borderId="0" xfId="0" applyFont="1"/>
    <xf numFmtId="165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5" fontId="0" fillId="0" borderId="0" xfId="0" applyNumberForma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" fillId="7" borderId="0" xfId="7" applyAlignment="1">
      <alignment horizontal="center"/>
    </xf>
    <xf numFmtId="0" fontId="3" fillId="3" borderId="0" xfId="3" applyAlignment="1">
      <alignment horizontal="center"/>
    </xf>
    <xf numFmtId="0" fontId="3" fillId="3" borderId="10" xfId="3" applyBorder="1" applyAlignment="1">
      <alignment horizontal="center"/>
    </xf>
    <xf numFmtId="0" fontId="4" fillId="4" borderId="9" xfId="4" applyAlignment="1">
      <alignment horizontal="center"/>
    </xf>
    <xf numFmtId="0" fontId="2" fillId="2" borderId="11" xfId="2" applyBorder="1" applyAlignment="1">
      <alignment horizontal="center"/>
    </xf>
    <xf numFmtId="0" fontId="2" fillId="2" borderId="0" xfId="2" applyAlignment="1">
      <alignment horizontal="center"/>
    </xf>
    <xf numFmtId="0" fontId="6" fillId="5" borderId="0" xfId="5" applyAlignment="1">
      <alignment horizontal="center"/>
    </xf>
    <xf numFmtId="0" fontId="0" fillId="6" borderId="0" xfId="6" applyFont="1" applyAlignment="1">
      <alignment horizontal="center"/>
    </xf>
  </cellXfs>
  <cellStyles count="8">
    <cellStyle name="40% - Accent4" xfId="7" builtinId="43"/>
    <cellStyle name="60% - Accent2" xfId="6" builtinId="36"/>
    <cellStyle name="Accent2" xfId="5" builtinId="33"/>
    <cellStyle name="Comma" xfId="1" builtinId="3"/>
    <cellStyle name="Good" xfId="2" builtinId="26"/>
    <cellStyle name="Input" xfId="4" builtinId="20"/>
    <cellStyle name="Neutral" xfId="3" builtinId="2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_(* #,##0.0_);_(* \(#,##0.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_);_(* \(#,##0.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BD9A6-49D2-4603-A0D0-5E912272E132}" name="Table13" displayName="Table13" ref="A9:X14" totalsRowCount="1" headerRowDxfId="47" totalsRowDxfId="46">
  <autoFilter ref="A9:X13" xr:uid="{4E216C36-C53D-4001-BE9D-DE03A8A03D60}"/>
  <tableColumns count="24">
    <tableColumn id="1" xr3:uid="{7D163066-7814-4949-8070-8533E404C643}" name="DetectionType" totalsRowLabel="Total" totalsRowDxfId="23"/>
    <tableColumn id="2" xr3:uid="{114E00C7-953E-422D-B75B-A24198B16E19}" name="Num Of Sensors" dataDxfId="45" totalsRowDxfId="22" dataCellStyle="Comma"/>
    <tableColumn id="14" xr3:uid="{C7FB1F87-F03F-4C26-A004-FD257E07CA52}" name="Detections/Sensor(MAX per sec)" dataDxfId="44" totalsRowDxfId="21" dataCellStyle="Comma"/>
    <tableColumn id="13" xr3:uid="{4850B9AE-9A16-4D32-8DD4-9DA1111BF2ED}" name="TOTAL MAX Detections/sec" dataDxfId="43" totalsRowDxfId="20" dataCellStyle="Comma">
      <calculatedColumnFormula>Table13[[#This Row],[Num Of Sensors]]*Table13[[#This Row],[Detections/Sensor(MAX per sec)]]</calculatedColumnFormula>
    </tableColumn>
    <tableColumn id="3" xr3:uid="{63C13860-6E42-4D51-A8F6-7DD235B8AEDD}" name="AVG Detection/Min per Sensor" dataDxfId="42" totalsRowDxfId="19" dataCellStyle="Comma"/>
    <tableColumn id="4" xr3:uid="{C7B0678F-0EA4-479D-BB9A-AFF84BB37CBF}" name="AVG Detection/Hour per Sensor" dataDxfId="41" totalsRowDxfId="18" dataCellStyle="Comma">
      <calculatedColumnFormula>Table13[[#This Row],[AVG Detection/Min per Sensor]]*60</calculatedColumnFormula>
    </tableColumn>
    <tableColumn id="5" xr3:uid="{9B4B5975-EE13-419A-811E-99E6BCF16C99}" name="MetaDataSize(KB)" dataDxfId="40" totalsRowDxfId="17"/>
    <tableColumn id="16" xr3:uid="{B221BC4D-3FD8-4362-A0FA-9FF54F34691C}" name="Num Of Blobs" dataDxfId="39" totalsRowDxfId="16">
      <calculatedColumnFormula>COUNTA(Table13[[#This Row],[Blob Size (KB)]:[Blob Size (KB)4]])</calculatedColumnFormula>
    </tableColumn>
    <tableColumn id="6" xr3:uid="{77B2A151-82EA-48A2-97BA-FD106C750221}" name="Blob Size (KB)" dataDxfId="38" totalsRowDxfId="15"/>
    <tableColumn id="7" xr3:uid="{AF680C0E-C971-4CAA-A9C6-6CAA452CB710}" name="Blob Size (KB)2" dataDxfId="37" totalsRowDxfId="14"/>
    <tableColumn id="8" xr3:uid="{0502C63E-199D-4AA7-8233-1B9D7B03BF10}" name="Blob Size (KB)3" dataDxfId="36" totalsRowDxfId="13"/>
    <tableColumn id="9" xr3:uid="{7FBF4B22-11B6-4A7A-8861-C737B19C315E}" name="Blob Size (KB)4" dataDxfId="35" totalsRowDxfId="12"/>
    <tableColumn id="20" xr3:uid="{B6393502-B24E-47D4-BC45-132F8F9F43FC}" name="TotalImageSize(KB)" dataDxfId="34" totalsRowDxfId="11">
      <calculatedColumnFormula>SUM(Table13[[#This Row],[Blob Size (KB)]:[Blob Size (KB)3]])</calculatedColumnFormula>
    </tableColumn>
    <tableColumn id="12" xr3:uid="{B86E4347-5838-4A75-B1DC-4FFF62B2A301}" name="Detections/Day(Total)" totalsRowFunction="sum" dataDxfId="33" totalsRowDxfId="10" dataCellStyle="Comma">
      <calculatedColumnFormula>Table13[[#This Row],[Num Of Sensors]]*Table13[[#This Row],[AVG Detection/Min per Sensor]]*60*24</calculatedColumnFormula>
    </tableColumn>
    <tableColumn id="15" xr3:uid="{CD103F78-6CED-4FE5-A3A6-F0767FE88BA0}" name="Images/Day" totalsRowFunction="sum" dataDxfId="32" totalsRowDxfId="9" dataCellStyle="Comma">
      <calculatedColumnFormula>Table13[[#This Row],[Detections/Day(Total)]]*Table13[[#This Row],[Num Of Blobs]]</calculatedColumnFormula>
    </tableColumn>
    <tableColumn id="19" xr3:uid="{47FFA128-112B-43FA-8AB7-AC6AA1D0BB09}" name="ImageSize(GB)/Day" totalsRowFunction="sum" dataDxfId="31" totalsRowDxfId="8" dataCellStyle="Comma">
      <calculatedColumnFormula>Table13[[#This Row],[Detections/Day(Total)]]*Table13[[#This Row],[TotalImageSize(KB)]]/1024/1024</calculatedColumnFormula>
    </tableColumn>
    <tableColumn id="11" xr3:uid="{C0D6BCB1-7C51-48D8-8946-DCABC62A60A5}" name="MetaDataSize(GB)/Day" totalsRowFunction="sum" dataDxfId="30" totalsRowDxfId="7" dataCellStyle="Comma">
      <calculatedColumnFormula>Table13[[#This Row],[Detections/Day(Total)]]*Table13[[#This Row],[MetaDataSize(KB)]]/1024/1024</calculatedColumnFormula>
    </tableColumn>
    <tableColumn id="17" xr3:uid="{E4C6A8DF-DD61-4DE9-9995-746515CA8ADD}" name="Images MB/S (Peak/Sec)" totalsRowFunction="sum" dataDxfId="29" totalsRowDxfId="6">
      <calculatedColumnFormula>Table13[[#This Row],[TOTAL MAX Detections/sec]]*(Table13[[#This Row],[Blob Size (KB)]]+Table13[[#This Row],[Blob Size (KB)2]]+Table13[[#This Row],[Blob Size (KB)3]]+Table13[[#This Row],[Blob Size (KB)4]])/1024</calculatedColumnFormula>
    </tableColumn>
    <tableColumn id="23" xr3:uid="{C8D63FFE-B6B0-4E6E-8F12-2F6F32833C80}" name="Image I/O's " totalsRowFunction="sum" dataDxfId="28" totalsRowDxfId="5">
      <calculatedColumnFormula>Table13[[#This Row],[Images MB/S (Peak/Sec)]]*1024/$K$3</calculatedColumnFormula>
    </tableColumn>
    <tableColumn id="18" xr3:uid="{14C5EE82-1719-4492-A4E3-B5549B058783}" name="MetaData MB/S (Peak/Sec)" totalsRowFunction="sum" dataDxfId="27" totalsRowDxfId="4">
      <calculatedColumnFormula>Table13[[#This Row],[TOTAL MAX Detections/sec]]*Table13[[#This Row],[MetaDataSize(KB)]]/1024</calculatedColumnFormula>
    </tableColumn>
    <tableColumn id="24" xr3:uid="{7B08E85A-9D82-4F39-AC5B-877DB6A3C774}" name="MetaData I/O's" totalsRowFunction="sum" dataDxfId="26" totalsRowDxfId="3">
      <calculatedColumnFormula>Table13[[#This Row],[MetaData MB/S (Peak/Sec)]]*1024/$K$3</calculatedColumnFormula>
    </tableColumn>
    <tableColumn id="10" xr3:uid="{A49959C5-2E77-4455-AF29-C9A4D802F19F}" name="retention Days" totalsRowDxfId="2"/>
    <tableColumn id="21" xr3:uid="{69F004F8-CC69-4074-A28C-AFEF3F07589E}" name="Total SizeImages(TB)/Retention" totalsRowFunction="sum" dataDxfId="25" totalsRowDxfId="1">
      <calculatedColumnFormula>Table13[[#This Row],[ImageSize(GB)/Day]]*Table13[[#This Row],[retention Days]]/1024</calculatedColumnFormula>
    </tableColumn>
    <tableColumn id="22" xr3:uid="{769FC377-1F8C-445A-A1C6-12393A79EE8E}" name="Total Size MetaData(TB)/Retention" totalsRowFunction="sum" dataDxfId="24" totalsRowDxfId="0">
      <calculatedColumnFormula>Table13[[#This Row],[MetaDataSize(GB)/Day]]*Table13[[#This Row],[retention Days]]/1024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A1E4-5990-4342-A527-47D504677179}">
  <dimension ref="A1:X34"/>
  <sheetViews>
    <sheetView tabSelected="1" topLeftCell="J1" zoomScale="115" zoomScaleNormal="115" workbookViewId="0">
      <selection activeCell="B13" sqref="B13"/>
    </sheetView>
  </sheetViews>
  <sheetFormatPr defaultRowHeight="14.4" x14ac:dyDescent="0.3"/>
  <cols>
    <col min="1" max="1" width="16.44140625" bestFit="1" customWidth="1"/>
    <col min="2" max="2" width="17.5546875" bestFit="1" customWidth="1"/>
    <col min="3" max="3" width="16.109375" style="1" bestFit="1" customWidth="1"/>
    <col min="4" max="4" width="16.6640625" bestFit="1" customWidth="1"/>
    <col min="5" max="5" width="17" bestFit="1" customWidth="1"/>
    <col min="6" max="6" width="17.6640625" bestFit="1" customWidth="1"/>
    <col min="7" max="7" width="15.6640625" bestFit="1" customWidth="1"/>
    <col min="8" max="8" width="8.109375" bestFit="1" customWidth="1"/>
    <col min="9" max="9" width="8" customWidth="1"/>
    <col min="10" max="10" width="24.44140625" customWidth="1"/>
    <col min="11" max="11" width="18.33203125" customWidth="1"/>
    <col min="12" max="12" width="9.5546875" customWidth="1"/>
    <col min="13" max="13" width="15.88671875" bestFit="1" customWidth="1"/>
    <col min="14" max="14" width="12.44140625" customWidth="1"/>
    <col min="15" max="15" width="13.6640625" bestFit="1" customWidth="1"/>
    <col min="16" max="16" width="13" customWidth="1"/>
    <col min="17" max="17" width="10.6640625" customWidth="1"/>
    <col min="18" max="18" width="12.88671875" customWidth="1"/>
    <col min="19" max="19" width="13.44140625" bestFit="1" customWidth="1"/>
    <col min="20" max="20" width="15.5546875" customWidth="1"/>
    <col min="21" max="21" width="10" customWidth="1"/>
    <col min="22" max="22" width="14.33203125" customWidth="1"/>
    <col min="23" max="23" width="15.33203125" customWidth="1"/>
    <col min="24" max="24" width="13.5546875" customWidth="1"/>
  </cols>
  <sheetData>
    <row r="1" spans="1:24" x14ac:dyDescent="0.3">
      <c r="C1"/>
    </row>
    <row r="2" spans="1:24" ht="15" thickBot="1" x14ac:dyDescent="0.35"/>
    <row r="3" spans="1:24" ht="15" thickBot="1" x14ac:dyDescent="0.35">
      <c r="B3" s="2" t="s">
        <v>1</v>
      </c>
      <c r="C3" s="3" t="s">
        <v>0</v>
      </c>
      <c r="G3" s="2" t="s">
        <v>5</v>
      </c>
      <c r="H3" s="8">
        <v>3600</v>
      </c>
      <c r="J3" s="10" t="s">
        <v>35</v>
      </c>
      <c r="K3" s="11">
        <v>4</v>
      </c>
    </row>
    <row r="4" spans="1:24" ht="15" thickBot="1" x14ac:dyDescent="0.35">
      <c r="B4" s="4" t="s">
        <v>2</v>
      </c>
      <c r="C4" s="5">
        <v>4</v>
      </c>
      <c r="G4" s="6" t="s">
        <v>6</v>
      </c>
      <c r="H4" s="9">
        <v>10</v>
      </c>
    </row>
    <row r="5" spans="1:24" x14ac:dyDescent="0.3">
      <c r="B5" s="4" t="s">
        <v>3</v>
      </c>
      <c r="C5" s="5">
        <v>5</v>
      </c>
    </row>
    <row r="6" spans="1:24" ht="15" thickBot="1" x14ac:dyDescent="0.35">
      <c r="B6" s="6" t="s">
        <v>4</v>
      </c>
      <c r="C6" s="7">
        <v>6</v>
      </c>
    </row>
    <row r="8" spans="1:24" x14ac:dyDescent="0.3">
      <c r="C8" s="24" t="s">
        <v>24</v>
      </c>
      <c r="D8" s="25"/>
      <c r="E8" s="26" t="s">
        <v>12</v>
      </c>
      <c r="F8" s="26"/>
      <c r="G8" s="27" t="s">
        <v>23</v>
      </c>
      <c r="H8" s="28"/>
      <c r="I8" s="28"/>
      <c r="J8" s="28"/>
      <c r="K8" s="28"/>
      <c r="L8" s="28"/>
      <c r="M8" s="28"/>
      <c r="N8" s="29" t="s">
        <v>22</v>
      </c>
      <c r="O8" s="29"/>
      <c r="P8" s="29"/>
      <c r="Q8" s="29"/>
      <c r="R8" s="30" t="s">
        <v>32</v>
      </c>
      <c r="S8" s="30"/>
      <c r="T8" s="30"/>
      <c r="U8" s="30"/>
      <c r="V8" s="23" t="s">
        <v>31</v>
      </c>
      <c r="W8" s="23"/>
      <c r="X8" s="23"/>
    </row>
    <row r="9" spans="1:24" s="21" customFormat="1" ht="43.2" x14ac:dyDescent="0.3">
      <c r="A9" s="20" t="s">
        <v>7</v>
      </c>
      <c r="B9" s="20" t="s">
        <v>8</v>
      </c>
      <c r="C9" s="20" t="s">
        <v>11</v>
      </c>
      <c r="D9" s="21" t="s">
        <v>25</v>
      </c>
      <c r="E9" s="20" t="s">
        <v>26</v>
      </c>
      <c r="F9" s="20" t="s">
        <v>27</v>
      </c>
      <c r="G9" s="20" t="s">
        <v>10</v>
      </c>
      <c r="H9" s="20" t="s">
        <v>18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21</v>
      </c>
      <c r="N9" s="20" t="s">
        <v>9</v>
      </c>
      <c r="O9" s="22" t="s">
        <v>13</v>
      </c>
      <c r="P9" s="20" t="s">
        <v>28</v>
      </c>
      <c r="Q9" s="20" t="s">
        <v>29</v>
      </c>
      <c r="R9" s="22" t="s">
        <v>19</v>
      </c>
      <c r="S9" s="20" t="s">
        <v>36</v>
      </c>
      <c r="T9" s="20" t="s">
        <v>20</v>
      </c>
      <c r="U9" s="20" t="s">
        <v>37</v>
      </c>
      <c r="V9" s="20" t="s">
        <v>30</v>
      </c>
      <c r="W9" s="20" t="s">
        <v>33</v>
      </c>
      <c r="X9" s="20" t="s">
        <v>34</v>
      </c>
    </row>
    <row r="10" spans="1:24" x14ac:dyDescent="0.3">
      <c r="A10" t="s">
        <v>39</v>
      </c>
      <c r="B10" s="13">
        <v>300</v>
      </c>
      <c r="C10" s="13">
        <v>1</v>
      </c>
      <c r="D10" s="13">
        <f>Table13[[#This Row],[Num Of Sensors]]*Table13[[#This Row],[Detections/Sensor(MAX per sec)]]</f>
        <v>300</v>
      </c>
      <c r="E10" s="15">
        <v>5</v>
      </c>
      <c r="F10" s="13">
        <f>Table13[[#This Row],[AVG Detection/Min per Sensor]]*60</f>
        <v>300</v>
      </c>
      <c r="G10" s="1">
        <v>4</v>
      </c>
      <c r="H10" s="1">
        <v>3</v>
      </c>
      <c r="I10" s="1">
        <v>100</v>
      </c>
      <c r="J10" s="1">
        <v>7</v>
      </c>
      <c r="K10" s="1">
        <v>5</v>
      </c>
      <c r="L10" s="1"/>
      <c r="M10" s="1">
        <f>SUM(Table13[[#This Row],[Blob Size (KB)]:[Blob Size (KB)3]])</f>
        <v>112</v>
      </c>
      <c r="N10" s="13">
        <f>Table13[[#This Row],[Num Of Sensors]]*Table13[[#This Row],[AVG Detection/Min per Sensor]]*60*24</f>
        <v>2160000</v>
      </c>
      <c r="O10" s="13">
        <f>Table13[[#This Row],[Detections/Day(Total)]]*Table13[[#This Row],[Num Of Blobs]]</f>
        <v>6480000</v>
      </c>
      <c r="P10" s="13">
        <f>Table13[[#This Row],[Detections/Day(Total)]]*Table13[[#This Row],[TotalImageSize(KB)]]/1024/1024</f>
        <v>230.712890625</v>
      </c>
      <c r="Q10" s="14">
        <f>Table13[[#This Row],[Detections/Day(Total)]]*Table13[[#This Row],[MetaDataSize(KB)]]/1024/1024</f>
        <v>8.23974609375</v>
      </c>
      <c r="R10" s="1">
        <f>Table13[[#This Row],[TOTAL MAX Detections/sec]]*(Table13[[#This Row],[Blob Size (KB)]]+Table13[[#This Row],[Blob Size (KB)2]]+Table13[[#This Row],[Blob Size (KB)3]]+Table13[[#This Row],[Blob Size (KB)4]])/1024</f>
        <v>32.8125</v>
      </c>
      <c r="S10" s="1">
        <f>Table13[[#This Row],[Images MB/S (Peak/Sec)]]*1024/$K$3</f>
        <v>8400</v>
      </c>
      <c r="T10" s="1">
        <f>Table13[[#This Row],[TOTAL MAX Detections/sec]]*Table13[[#This Row],[MetaDataSize(KB)]]/1024</f>
        <v>1.171875</v>
      </c>
      <c r="U10" s="1">
        <f>Table13[[#This Row],[MetaData MB/S (Peak/Sec)]]*1024/$K$3</f>
        <v>300</v>
      </c>
      <c r="V10">
        <v>90</v>
      </c>
      <c r="W10">
        <f>Table13[[#This Row],[ImageSize(GB)/Day]]*Table13[[#This Row],[retention Days]]/1024</f>
        <v>20.277500152587891</v>
      </c>
      <c r="X10">
        <f>Table13[[#This Row],[MetaDataSize(GB)/Day]]*Table13[[#This Row],[retention Days]]/1024</f>
        <v>0.72419643402099609</v>
      </c>
    </row>
    <row r="11" spans="1:24" x14ac:dyDescent="0.3">
      <c r="A11" t="s">
        <v>40</v>
      </c>
      <c r="B11" s="13">
        <v>0</v>
      </c>
      <c r="C11" s="13">
        <v>1</v>
      </c>
      <c r="D11" s="13">
        <f>Table13[[#This Row],[Num Of Sensors]]*Table13[[#This Row],[Detections/Sensor(MAX per sec)]]</f>
        <v>0</v>
      </c>
      <c r="E11" s="15">
        <v>7</v>
      </c>
      <c r="F11" s="13">
        <f>Table13[[#This Row],[AVG Detection/Min per Sensor]]*60</f>
        <v>420</v>
      </c>
      <c r="G11" s="1">
        <v>40</v>
      </c>
      <c r="H11" s="1">
        <f>COUNTA(Table13[[#This Row],[Blob Size (KB)]:[Blob Size (KB)4]])</f>
        <v>2</v>
      </c>
      <c r="I11" s="1">
        <v>15</v>
      </c>
      <c r="J11" s="1">
        <v>3</v>
      </c>
      <c r="K11" s="1"/>
      <c r="L11" s="1"/>
      <c r="M11" s="1">
        <f>SUM(Table13[[#This Row],[Blob Size (KB)]:[Blob Size (KB)3]])</f>
        <v>18</v>
      </c>
      <c r="N11" s="13">
        <f>Table13[[#This Row],[Num Of Sensors]]*Table13[[#This Row],[AVG Detection/Min per Sensor]]*60*24</f>
        <v>0</v>
      </c>
      <c r="O11" s="13">
        <f>Table13[[#This Row],[Detections/Day(Total)]]*Table13[[#This Row],[Num Of Blobs]]</f>
        <v>0</v>
      </c>
      <c r="P11" s="13">
        <f>Table13[[#This Row],[Detections/Day(Total)]]*Table13[[#This Row],[TotalImageSize(KB)]]/1024/1024</f>
        <v>0</v>
      </c>
      <c r="Q11" s="14">
        <f>Table13[[#This Row],[Detections/Day(Total)]]*Table13[[#This Row],[MetaDataSize(KB)]]/1024/1024</f>
        <v>0</v>
      </c>
      <c r="R11" s="1">
        <f>Table13[[#This Row],[TOTAL MAX Detections/sec]]*(Table13[[#This Row],[Blob Size (KB)]]+Table13[[#This Row],[Blob Size (KB)2]]+Table13[[#This Row],[Blob Size (KB)3]]+Table13[[#This Row],[Blob Size (KB)4]])/1024</f>
        <v>0</v>
      </c>
      <c r="S11" s="1">
        <f>Table13[[#This Row],[Images MB/S (Peak/Sec)]]*1024/$K$3</f>
        <v>0</v>
      </c>
      <c r="T11" s="1">
        <f>Table13[[#This Row],[TOTAL MAX Detections/sec]]*Table13[[#This Row],[MetaDataSize(KB)]]/1024</f>
        <v>0</v>
      </c>
      <c r="U11" s="1">
        <f>Table13[[#This Row],[MetaData MB/S (Peak/Sec)]]*1024/$K$3</f>
        <v>0</v>
      </c>
      <c r="V11">
        <v>90</v>
      </c>
      <c r="W11">
        <f>Table13[[#This Row],[ImageSize(GB)/Day]]*Table13[[#This Row],[retention Days]]/1024</f>
        <v>0</v>
      </c>
      <c r="X11">
        <f>Table13[[#This Row],[MetaDataSize(GB)/Day]]*Table13[[#This Row],[retention Days]]/1024</f>
        <v>0</v>
      </c>
    </row>
    <row r="12" spans="1:24" x14ac:dyDescent="0.3">
      <c r="A12" t="s">
        <v>41</v>
      </c>
      <c r="B12" s="13">
        <v>0</v>
      </c>
      <c r="C12" s="13">
        <v>1</v>
      </c>
      <c r="D12" s="13">
        <f>Table13[[#This Row],[Num Of Sensors]]*Table13[[#This Row],[Detections/Sensor(MAX per sec)]]</f>
        <v>0</v>
      </c>
      <c r="E12" s="15">
        <v>1</v>
      </c>
      <c r="F12" s="13">
        <f>Table13[[#This Row],[AVG Detection/Min per Sensor]]*60</f>
        <v>60</v>
      </c>
      <c r="G12" s="1">
        <v>4</v>
      </c>
      <c r="H12" s="1">
        <f>COUNTA(Table13[[#This Row],[Blob Size (KB)]:[Blob Size (KB)4]])</f>
        <v>1</v>
      </c>
      <c r="I12" s="1">
        <v>100</v>
      </c>
      <c r="J12" s="1"/>
      <c r="K12" s="1"/>
      <c r="L12" s="1"/>
      <c r="M12" s="1">
        <f>SUM(Table13[[#This Row],[Blob Size (KB)]:[Blob Size (KB)3]])</f>
        <v>100</v>
      </c>
      <c r="N12" s="13">
        <f>Table13[[#This Row],[Num Of Sensors]]*Table13[[#This Row],[AVG Detection/Min per Sensor]]*60*24</f>
        <v>0</v>
      </c>
      <c r="O12" s="13">
        <f>Table13[[#This Row],[Detections/Day(Total)]]*Table13[[#This Row],[Num Of Blobs]]</f>
        <v>0</v>
      </c>
      <c r="P12" s="13">
        <f>Table13[[#This Row],[Detections/Day(Total)]]*Table13[[#This Row],[TotalImageSize(KB)]]/1024/1024</f>
        <v>0</v>
      </c>
      <c r="Q12" s="14">
        <f>Table13[[#This Row],[Detections/Day(Total)]]*Table13[[#This Row],[MetaDataSize(KB)]]/1024/1024</f>
        <v>0</v>
      </c>
      <c r="R12" s="1">
        <f>Table13[[#This Row],[TOTAL MAX Detections/sec]]*(Table13[[#This Row],[Blob Size (KB)]]+Table13[[#This Row],[Blob Size (KB)2]]+Table13[[#This Row],[Blob Size (KB)3]]+Table13[[#This Row],[Blob Size (KB)4]])/1024</f>
        <v>0</v>
      </c>
      <c r="S12" s="1">
        <f>Table13[[#This Row],[Images MB/S (Peak/Sec)]]*1024/$K$3</f>
        <v>0</v>
      </c>
      <c r="T12" s="1">
        <f>Table13[[#This Row],[TOTAL MAX Detections/sec]]*Table13[[#This Row],[MetaDataSize(KB)]]/1024</f>
        <v>0</v>
      </c>
      <c r="U12" s="1">
        <f>Table13[[#This Row],[MetaData MB/S (Peak/Sec)]]*1024/$K$3</f>
        <v>0</v>
      </c>
      <c r="V12">
        <v>45</v>
      </c>
      <c r="W12">
        <f>Table13[[#This Row],[ImageSize(GB)/Day]]*Table13[[#This Row],[retention Days]]/1024</f>
        <v>0</v>
      </c>
      <c r="X12">
        <f>Table13[[#This Row],[MetaDataSize(GB)/Day]]*Table13[[#This Row],[retention Days]]/1024</f>
        <v>0</v>
      </c>
    </row>
    <row r="13" spans="1:24" x14ac:dyDescent="0.3">
      <c r="A13" t="s">
        <v>42</v>
      </c>
      <c r="B13" s="13">
        <v>0</v>
      </c>
      <c r="C13" s="13">
        <v>6</v>
      </c>
      <c r="D13" s="13">
        <f>Table13[[#This Row],[Num Of Sensors]]*Table13[[#This Row],[Detections/Sensor(MAX per sec)]]</f>
        <v>0</v>
      </c>
      <c r="E13" s="15">
        <v>0.35</v>
      </c>
      <c r="F13" s="13">
        <f>Table13[[#This Row],[AVG Detection/Min per Sensor]]*60</f>
        <v>21</v>
      </c>
      <c r="G13" s="1">
        <v>4</v>
      </c>
      <c r="H13" s="1">
        <f>COUNTA(Table13[[#This Row],[Blob Size (KB)]:[Blob Size (KB)4]])</f>
        <v>1</v>
      </c>
      <c r="I13" s="1">
        <v>2000</v>
      </c>
      <c r="J13" s="1"/>
      <c r="K13" s="1"/>
      <c r="L13" s="1"/>
      <c r="M13" s="1">
        <f>SUM(Table13[[#This Row],[Blob Size (KB)]:[Blob Size (KB)3]])</f>
        <v>2000</v>
      </c>
      <c r="N13" s="13">
        <f>Table13[[#This Row],[Num Of Sensors]]*Table13[[#This Row],[AVG Detection/Min per Sensor]]*60*24</f>
        <v>0</v>
      </c>
      <c r="O13" s="13">
        <f>Table13[[#This Row],[Detections/Day(Total)]]*Table13[[#This Row],[Num Of Blobs]]</f>
        <v>0</v>
      </c>
      <c r="P13" s="13">
        <f>Table13[[#This Row],[Detections/Day(Total)]]*Table13[[#This Row],[TotalImageSize(KB)]]/1024/1024</f>
        <v>0</v>
      </c>
      <c r="Q13" s="14">
        <f>Table13[[#This Row],[Detections/Day(Total)]]*Table13[[#This Row],[MetaDataSize(KB)]]/1024/1024</f>
        <v>0</v>
      </c>
      <c r="R13" s="1">
        <f>Table13[[#This Row],[TOTAL MAX Detections/sec]]*(Table13[[#This Row],[Blob Size (KB)]]+Table13[[#This Row],[Blob Size (KB)2]]+Table13[[#This Row],[Blob Size (KB)3]]+Table13[[#This Row],[Blob Size (KB)4]])/1024</f>
        <v>0</v>
      </c>
      <c r="S13" s="1">
        <f>Table13[[#This Row],[Images MB/S (Peak/Sec)]]*1024/$K$3</f>
        <v>0</v>
      </c>
      <c r="T13" s="1">
        <f>Table13[[#This Row],[TOTAL MAX Detections/sec]]*Table13[[#This Row],[MetaDataSize(KB)]]/1024</f>
        <v>0</v>
      </c>
      <c r="U13" s="1">
        <f>Table13[[#This Row],[MetaData MB/S (Peak/Sec)]]*1024/$K$3</f>
        <v>0</v>
      </c>
      <c r="V13">
        <v>90</v>
      </c>
      <c r="W13">
        <f>Table13[[#This Row],[ImageSize(GB)/Day]]*Table13[[#This Row],[retention Days]]/1024</f>
        <v>0</v>
      </c>
      <c r="X13">
        <f>Table13[[#This Row],[MetaDataSize(GB)/Day]]*Table13[[#This Row],[retention Days]]/1024</f>
        <v>0</v>
      </c>
    </row>
    <row r="14" spans="1:24" x14ac:dyDescent="0.3">
      <c r="A14" s="16" t="s">
        <v>38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>
        <f>SUBTOTAL(109,Table13[Detections/Day(Total)])</f>
        <v>2160000</v>
      </c>
      <c r="O14" s="17">
        <f>SUBTOTAL(109,Table13[Images/Day])</f>
        <v>6480000</v>
      </c>
      <c r="P14" s="17">
        <f>SUBTOTAL(109,Table13[ImageSize(GB)/Day])</f>
        <v>230.712890625</v>
      </c>
      <c r="Q14" s="17">
        <f>SUBTOTAL(109,Table13[MetaDataSize(GB)/Day])</f>
        <v>8.23974609375</v>
      </c>
      <c r="R14" s="17">
        <f>SUBTOTAL(109,Table13[Images MB/S (Peak/Sec)])</f>
        <v>32.8125</v>
      </c>
      <c r="S14" s="17">
        <f>SUBTOTAL(109,Table13[Image I/O''s ])</f>
        <v>8400</v>
      </c>
      <c r="T14" s="17">
        <f>SUBTOTAL(109,Table13[MetaData MB/S (Peak/Sec)])</f>
        <v>1.171875</v>
      </c>
      <c r="U14" s="17">
        <f>SUBTOTAL(109,Table13[MetaData I/O''s])</f>
        <v>300</v>
      </c>
      <c r="V14" s="17"/>
      <c r="W14" s="17">
        <f>SUBTOTAL(109,Table13[Total SizeImages(TB)/Retention])</f>
        <v>20.277500152587891</v>
      </c>
      <c r="X14" s="18">
        <f>SUBTOTAL(109,Table13[Total Size MetaData(TB)/Retention])</f>
        <v>0.72419643402099609</v>
      </c>
    </row>
    <row r="15" spans="1:2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2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5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5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5" x14ac:dyDescent="0.3">
      <c r="A19" s="12"/>
    </row>
    <row r="20" spans="1:15" x14ac:dyDescent="0.3">
      <c r="A20" s="12"/>
    </row>
    <row r="21" spans="1:15" x14ac:dyDescent="0.3">
      <c r="A21" s="12"/>
    </row>
    <row r="22" spans="1:15" x14ac:dyDescent="0.3">
      <c r="A22" s="12"/>
    </row>
    <row r="23" spans="1:15" x14ac:dyDescent="0.3">
      <c r="A23" s="12"/>
      <c r="O23" s="19"/>
    </row>
    <row r="24" spans="1:15" x14ac:dyDescent="0.3">
      <c r="A24" s="12"/>
    </row>
    <row r="25" spans="1:15" x14ac:dyDescent="0.3">
      <c r="A25" s="12"/>
    </row>
    <row r="27" spans="1:15" x14ac:dyDescent="0.3">
      <c r="A27" s="12"/>
    </row>
    <row r="28" spans="1:15" x14ac:dyDescent="0.3">
      <c r="A28" s="12"/>
    </row>
    <row r="29" spans="1:15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5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5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5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</sheetData>
  <mergeCells count="6">
    <mergeCell ref="V8:X8"/>
    <mergeCell ref="C8:D8"/>
    <mergeCell ref="E8:F8"/>
    <mergeCell ref="G8:M8"/>
    <mergeCell ref="N8:Q8"/>
    <mergeCell ref="R8:U8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CE9A821F4374CBAF85A638F90CEA6" ma:contentTypeVersion="12" ma:contentTypeDescription="Crear nuevo documento." ma:contentTypeScope="" ma:versionID="39e45cf59377ff3f3241e567efc2c5c1">
  <xsd:schema xmlns:xsd="http://www.w3.org/2001/XMLSchema" xmlns:xs="http://www.w3.org/2001/XMLSchema" xmlns:p="http://schemas.microsoft.com/office/2006/metadata/properties" xmlns:ns2="8f6a2f2c-8e24-4212-8b0b-8763c94ce0da" xmlns:ns3="c40eea41-ef2d-4411-8c1d-d05d66b53966" targetNamespace="http://schemas.microsoft.com/office/2006/metadata/properties" ma:root="true" ma:fieldsID="38aa9652b60b7498b4ee85773718076f" ns2:_="" ns3:_="">
    <xsd:import namespace="8f6a2f2c-8e24-4212-8b0b-8763c94ce0da"/>
    <xsd:import namespace="c40eea41-ef2d-4411-8c1d-d05d66b53966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a2f2c-8e24-4212-8b0b-8763c94ce0da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3bfc367-8610-44d7-a8ec-c8db8bee50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eea41-ef2d-4411-8c1d-d05d66b539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34ee285-ef54-4f1b-91f4-c79c23f20032}" ma:internalName="TaxCatchAll" ma:showField="CatchAllData" ma:web="c40eea41-ef2d-4411-8c1d-d05d66b539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a2f2c-8e24-4212-8b0b-8763c94ce0da">
      <Terms xmlns="http://schemas.microsoft.com/office/infopath/2007/PartnerControls"/>
    </lcf76f155ced4ddcb4097134ff3c332f>
    <TaxCatchAll xmlns="c40eea41-ef2d-4411-8c1d-d05d66b53966" xsi:nil="true"/>
  </documentManagement>
</p:properties>
</file>

<file path=customXml/itemProps1.xml><?xml version="1.0" encoding="utf-8"?>
<ds:datastoreItem xmlns:ds="http://schemas.openxmlformats.org/officeDocument/2006/customXml" ds:itemID="{EF314749-4EC0-4DF6-81A5-4E3D485F95DF}"/>
</file>

<file path=customXml/itemProps2.xml><?xml version="1.0" encoding="utf-8"?>
<ds:datastoreItem xmlns:ds="http://schemas.openxmlformats.org/officeDocument/2006/customXml" ds:itemID="{CE8853C2-C266-416B-B38B-735C887235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7103E9-BF57-454D-9EBF-96F3DF6AF7EC}">
  <ds:schemaRefs>
    <ds:schemaRef ds:uri="http://schemas.microsoft.com/office/2006/metadata/properties"/>
    <ds:schemaRef ds:uri="http://schemas.microsoft.com/office/infopath/2007/PartnerControls"/>
    <ds:schemaRef ds:uri="527b70d8-9062-4b10-a9ae-d0c4573bbea4"/>
    <ds:schemaRef ds:uri="2f028d8d-53ec-477e-ac72-474eddf304e3"/>
    <ds:schemaRef ds:uri="8f6a2f2c-8e24-4212-8b0b-8763c94ce0da"/>
    <ds:schemaRef ds:uri="c40eea41-ef2d-4411-8c1d-d05d66b539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Dilbert Vilon</dc:creator>
  <cp:lastModifiedBy>Shay Malka</cp:lastModifiedBy>
  <dcterms:created xsi:type="dcterms:W3CDTF">2016-02-14T19:26:48Z</dcterms:created>
  <dcterms:modified xsi:type="dcterms:W3CDTF">2026-04-04T08:21:00Z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0x010100F54CE9A821F4374CBAF85A638F90CEA6</vt:lpwstr>
  </property>
  <property fmtid="{D5CDD505-2E9C-101B-9397-08002B2CF9AE}" pid="3" name="MediaServiceImageTags">
    <vt:lpwstr/>
  </property>
  <property fmtid="{D5CDD505-2E9C-101B-9397-08002B2CF9AE}" pid="4" name="MigrationWizIdVersion">
    <vt:lpwstr>aae478f9-4d64-41ec-8e81-9a8ee98771e3-638836119720000000</vt:lpwstr>
  </property>
  <property fmtid="{D5CDD505-2E9C-101B-9397-08002B2CF9AE}" pid="5" name="MigrationWizId">
    <vt:lpwstr>aae478f9-4d64-41ec-8e81-9a8ee98771e3</vt:lpwstr>
  </property>
</Properties>
</file>