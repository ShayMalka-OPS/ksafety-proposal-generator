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y.CITYSHOB\Downloads\"/>
    </mc:Choice>
  </mc:AlternateContent>
  <xr:revisionPtr revIDLastSave="0" documentId="13_ncr:1_{2B9F400A-FEE5-4957-BD73-2616B8EDAFC5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Overview" sheetId="1" r:id="rId1"/>
    <sheet name="License Price List" sheetId="2" r:id="rId2"/>
    <sheet name="IoT Sensors" sheetId="3" r:id="rId3"/>
    <sheet name="K-Share Mobile App" sheetId="4" r:id="rId4"/>
    <sheet name="K-React Responder App" sheetId="5" r:id="rId5"/>
    <sheet name="Professional Services" sheetId="6" r:id="rId6"/>
    <sheet name="5-Year Cost Compariso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7" l="1"/>
  <c r="F11" i="7"/>
  <c r="F12" i="7"/>
  <c r="F13" i="7"/>
  <c r="F14" i="7"/>
  <c r="F15" i="7"/>
  <c r="H15" i="7" s="1"/>
  <c r="G10" i="7"/>
  <c r="G11" i="7"/>
  <c r="G12" i="7"/>
  <c r="G13" i="7"/>
  <c r="G14" i="7"/>
  <c r="G15" i="7"/>
  <c r="F9" i="7"/>
  <c r="E9" i="7"/>
  <c r="G9" i="7" s="1"/>
  <c r="H11" i="7" l="1"/>
  <c r="H12" i="7"/>
  <c r="H10" i="7"/>
  <c r="H14" i="7"/>
  <c r="H13" i="7"/>
  <c r="H9" i="7"/>
</calcChain>
</file>

<file path=xl/sharedStrings.xml><?xml version="1.0" encoding="utf-8"?>
<sst xmlns="http://schemas.openxmlformats.org/spreadsheetml/2006/main" count="302" uniqueCount="212">
  <si>
    <t>K-SAFETY  –  Command &amp; Control Centre for Smart and Safe City</t>
  </si>
  <si>
    <t>K-Safety is a comprehensive Command &amp; Control platform designed for smart and safe city management. It unifies video surveillance, IoT sensors, LPR, video analytics, face recognition, and field-responder applications into a single real-time operational interface.
Website: www.kabatone.com</t>
  </si>
  <si>
    <t xml:space="preserve">  PRICING SUMMARY — ALL MODULES</t>
  </si>
  <si>
    <t>Module</t>
  </si>
  <si>
    <t>Annual Price</t>
  </si>
  <si>
    <t>Perpetual Price*</t>
  </si>
  <si>
    <t>Notes</t>
  </si>
  <si>
    <t>Core Platform</t>
  </si>
  <si>
    <t>All base modules included</t>
  </si>
  <si>
    <t>CCTV Video Channel</t>
  </si>
  <si>
    <t>$100 / ch / yr</t>
  </si>
  <si>
    <t>$350 / channel</t>
  </si>
  <si>
    <t>Per channel</t>
  </si>
  <si>
    <t>Face Recognition</t>
  </si>
  <si>
    <t>$625 / ch / yr</t>
  </si>
  <si>
    <t>$2,188 / channel</t>
  </si>
  <si>
    <t>Video Analytics (AI)</t>
  </si>
  <si>
    <t>$556 / ch / yr</t>
  </si>
  <si>
    <t>$1,946 / channel</t>
  </si>
  <si>
    <t>LPR</t>
  </si>
  <si>
    <t>$500 / ch / yr</t>
  </si>
  <si>
    <t>$1,750 / channel</t>
  </si>
  <si>
    <t>User License</t>
  </si>
  <si>
    <t>$100 / user / yr</t>
  </si>
  <si>
    <t>$350 / user</t>
  </si>
  <si>
    <t>Per user</t>
  </si>
  <si>
    <t>IoT Sensor</t>
  </si>
  <si>
    <t>$5 / sensor / yr</t>
  </si>
  <si>
    <t>$18 / sensor</t>
  </si>
  <si>
    <t>Per sensor</t>
  </si>
  <si>
    <t>K-Share (Entry)</t>
  </si>
  <si>
    <t>Included</t>
  </si>
  <si>
    <t>≤ 50K population</t>
  </si>
  <si>
    <t>K-Share (Small)</t>
  </si>
  <si>
    <t>$10,000 / yr</t>
  </si>
  <si>
    <t>50K–100K population</t>
  </si>
  <si>
    <t>K-Share (Medium)</t>
  </si>
  <si>
    <t>$20,000 / yr</t>
  </si>
  <si>
    <t>100K–500K population</t>
  </si>
  <si>
    <t>K-Share (Large)</t>
  </si>
  <si>
    <t>$35,000 / yr</t>
  </si>
  <si>
    <t>500K–1M population</t>
  </si>
  <si>
    <t>K-Share (Mega)</t>
  </si>
  <si>
    <t>$50,000 / yr</t>
  </si>
  <si>
    <t>1M+ population</t>
  </si>
  <si>
    <t>K-React (Responder)</t>
  </si>
  <si>
    <t>$50 / unit / yr</t>
  </si>
  <si>
    <t>$175 / unit</t>
  </si>
  <si>
    <t>Per Android device</t>
  </si>
  <si>
    <t>Installation / Setup</t>
  </si>
  <si>
    <t>$10,000</t>
  </si>
  <si>
    <t>2-week engagement</t>
  </si>
  <si>
    <t>Training &amp; Impl. (1wk)</t>
  </si>
  <si>
    <t>$2,250</t>
  </si>
  <si>
    <t>1-week engagement</t>
  </si>
  <si>
    <t>Full Implementation</t>
  </si>
  <si>
    <t>$15,000</t>
  </si>
  <si>
    <t>1-month engagement</t>
  </si>
  <si>
    <t>* Perpetual pricing = 3.5× the annual price (one-time license). From Year 2 onward, annual support &amp; maintenance = 20% of perpetual license value.
  5-year total cost comparison:  Annual model ≈ 5× annual fee  |  Perpetual model ≈ 3.5× + 4×(3.5×20%) = 6.3× annual fee
  → Annual subscription is the more cost-effective choice over 5+ years.</t>
  </si>
  <si>
    <t>📋  Workbook sheets:  Overview  |  License Price List  |  IoT Sensors  |  K-Share Mobile App  |  K-React Responder App  |  Professional Services  |  5-Year Cost Comparison</t>
  </si>
  <si>
    <t>K-SAFETY  –  LICENSE PRICE LIST</t>
  </si>
  <si>
    <t>Component / Module</t>
  </si>
  <si>
    <t>Annual Price (USD)</t>
  </si>
  <si>
    <t>Perpetual Price (USD)</t>
  </si>
  <si>
    <t>Perpetual Support Y2+</t>
  </si>
  <si>
    <t xml:space="preserve">  1.  CORE PLATFORM  (includes all sub-modules below)</t>
  </si>
  <si>
    <t>Core Platform License</t>
  </si>
  <si>
    <t>20% of perp/yr</t>
  </si>
  <si>
    <t xml:space="preserve">  ↳ Event Management</t>
  </si>
  <si>
    <t>Incl.</t>
  </si>
  <si>
    <t>—</t>
  </si>
  <si>
    <t xml:space="preserve">  ↳ Task Management</t>
  </si>
  <si>
    <t xml:space="preserve">  ↳ BPM / Rules Engine (RBE)</t>
  </si>
  <si>
    <t xml:space="preserve">  ↳ Shift Management</t>
  </si>
  <si>
    <t xml:space="preserve">  ↳ Lists (People &amp; Vehicles)</t>
  </si>
  <si>
    <t xml:space="preserve">  ↳ Organizations</t>
  </si>
  <si>
    <t xml:space="preserve">  ↳ Users / Groups</t>
  </si>
  <si>
    <t xml:space="preserve">  ↳ Basic Reports / BI</t>
  </si>
  <si>
    <t xml:space="preserve">  ↳ Sensors Dashboard</t>
  </si>
  <si>
    <t xml:space="preserve">  ↳ GIS / Online Map</t>
  </si>
  <si>
    <t xml:space="preserve">  2.  CCTV / VIDEO CHANNEL INTEGRATION</t>
  </si>
  <si>
    <t>Per channel, per year</t>
  </si>
  <si>
    <t xml:space="preserve">  3.  VIDEO ANALYTICS CHANNELS</t>
  </si>
  <si>
    <t>Facial Recognition</t>
  </si>
  <si>
    <t>LPR – License Plate Recog.</t>
  </si>
  <si>
    <t>Per user, per year</t>
  </si>
  <si>
    <t xml:space="preserve">  4.  IoT SENSORS</t>
  </si>
  <si>
    <t>IoT Sensor License</t>
  </si>
  <si>
    <t>Any non-video data source (traffic lights, access control, fire alarm, smart lighting, panic buttons, etc.)</t>
  </si>
  <si>
    <t>PRICING NOTES
• Annual model: Customer pays each year; support &amp; upgrades included while subscription is active.
• Perpetual model: One-time license. Annual support (Y2+) = 20% of perpetual price.  Perpetual 5-yr total ≈ 6.3× annual — annual subscription is more cost-effective over time.
• Pricing excludes on-premises hardware and cloud infrastructure.
• Volume discounts available — contact Kabatone sales for a custom quote.</t>
  </si>
  <si>
    <t>K-SAFETY  –  IoT SENSOR INTEGRATION PRICING</t>
  </si>
  <si>
    <t>K-Safety connects to any IoT system that transmits data to the platform — whether it's a digital signal, status update, or sensor reading. This includes traffic lights, access control systems, fire alarms, smart lighting, panic buttons, environmental sensors, and more.</t>
  </si>
  <si>
    <t>IoT System Type</t>
  </si>
  <si>
    <t>Examples</t>
  </si>
  <si>
    <t>Annual Price / Sensor</t>
  </si>
  <si>
    <t>Perpetual / Sensor</t>
  </si>
  <si>
    <t>Traffic Management</t>
  </si>
  <si>
    <t>Traffic lights, variable message signs, road sensors</t>
  </si>
  <si>
    <t>Per sensor point</t>
  </si>
  <si>
    <t>Access Control</t>
  </si>
  <si>
    <t>Doors, gates, barriers, turnstiles</t>
  </si>
  <si>
    <t>Fire &amp; Safety</t>
  </si>
  <si>
    <t>Fire alarms, smoke detectors, sprinkler systems</t>
  </si>
  <si>
    <t>Smart Lighting</t>
  </si>
  <si>
    <t>Intelligent street lights, dimmer nodes</t>
  </si>
  <si>
    <t>Panic / SOS Buttons</t>
  </si>
  <si>
    <t>Public panic buttons, emergency call points</t>
  </si>
  <si>
    <t>Environmental</t>
  </si>
  <si>
    <t>Air quality, noise, temperature, flood sensors</t>
  </si>
  <si>
    <t>Other IoT</t>
  </si>
  <si>
    <t>Any non-video data feed sent to the K-Safety platform</t>
  </si>
  <si>
    <t xml:space="preserve">  INDICATIVE VOLUME PRICING BANDS</t>
  </si>
  <si>
    <t>Sensor Quantity Band</t>
  </si>
  <si>
    <t>Annual Unit Price</t>
  </si>
  <si>
    <t>Perpetual Unit Price</t>
  </si>
  <si>
    <t>Annual Band Total*</t>
  </si>
  <si>
    <t>1 – 100</t>
  </si>
  <si>
    <t>Up to $500/yr</t>
  </si>
  <si>
    <t>List price</t>
  </si>
  <si>
    <t>101 – 500</t>
  </si>
  <si>
    <t>Up to $2,000/yr</t>
  </si>
  <si>
    <t>~20% volume discount</t>
  </si>
  <si>
    <t>501 – 2,000</t>
  </si>
  <si>
    <t>Up to $6,000/yr</t>
  </si>
  <si>
    <t>~40% volume discount</t>
  </si>
  <si>
    <t>2,001+</t>
  </si>
  <si>
    <t>TBD</t>
  </si>
  <si>
    <t>Contact sales</t>
  </si>
  <si>
    <t>Enterprise pricing</t>
  </si>
  <si>
    <t>• The IoT license covers any non-video data-stream connected to K-Safety regardless of protocol (MQTT, REST, Modbus, BACnet, etc.).
• Perpetual price = 3.5× annual. Annual support from Year 2 = 20% of perpetual price.
• Volume discounts apply to the total sensor count in a single order — contact Kabatone sales.</t>
  </si>
  <si>
    <t>K-SHARE  –  Citizen Mobile Application</t>
  </si>
  <si>
    <t>K-Share is a citizen-facing mobile application (Google Play &amp; Apple App Store) enabling residents to report incidents to the K-Safety command centre with real-time location, photographs, and text.</t>
  </si>
  <si>
    <t>City Tier</t>
  </si>
  <si>
    <t>Population</t>
  </si>
  <si>
    <t>Entry</t>
  </si>
  <si>
    <t>Up to 50,000</t>
  </si>
  <si>
    <t>Bundled with Core Platform</t>
  </si>
  <si>
    <t>Small</t>
  </si>
  <si>
    <t>50,000 – 100,000</t>
  </si>
  <si>
    <t>Per city, per year</t>
  </si>
  <si>
    <t>Medium</t>
  </si>
  <si>
    <t>100,000 – 500,000</t>
  </si>
  <si>
    <t>Large</t>
  </si>
  <si>
    <t>500,000 – 1,000,000</t>
  </si>
  <si>
    <t>Mega</t>
  </si>
  <si>
    <t>1,000,000+</t>
  </si>
  <si>
    <t>• City tier is determined by the registered municipal population.
• Perpetual price = 3.5× annual. Annual support from Year 2 = 20% of perpetual license.
• Annual subscription includes all citizen app updates and platform support.</t>
  </si>
  <si>
    <t>K-REACT  –  First Responder Application</t>
  </si>
  <si>
    <t>K-React is an Android-based mobile application for first responders, enabling operators to dispatch field units, assign tasks, and track responders in real time during incident management.</t>
  </si>
  <si>
    <t>License Type</t>
  </si>
  <si>
    <t>Annual Price / Unit (USD)</t>
  </si>
  <si>
    <t>Perpetual / Unit (USD)</t>
  </si>
  <si>
    <t>K-React Device License</t>
  </si>
  <si>
    <t>Per Android device, per year</t>
  </si>
  <si>
    <t xml:space="preserve">  VOLUME PRICING GUIDE (indicative)</t>
  </si>
  <si>
    <t>Quantity Band</t>
  </si>
  <si>
    <t>Annual / Unit</t>
  </si>
  <si>
    <t>Perpetual / Unit</t>
  </si>
  <si>
    <t>Annual Band Total</t>
  </si>
  <si>
    <t>1 – 10</t>
  </si>
  <si>
    <t>11 – 50</t>
  </si>
  <si>
    <t>51 – 200</t>
  </si>
  <si>
    <t>Up to $7,000/yr</t>
  </si>
  <si>
    <t>~30% volume discount</t>
  </si>
  <si>
    <t>201+</t>
  </si>
  <si>
    <t>• Annual subscription includes software updates and technical support.
• Perpetual price = 3.5× annual. Annual support from Year 2 = 20% of perpetual license.
• Volume discounts apply to the total unit count in a single order.</t>
  </si>
  <si>
    <t>K-SAFETY  –  PROFESSIONAL SERVICES</t>
  </si>
  <si>
    <t>Kabatone offers professional services to ensure a smooth deployment of the K-Safety platform — from initial setup through end-user training and full system implementation.</t>
  </si>
  <si>
    <t>Service Package</t>
  </si>
  <si>
    <t>Duration</t>
  </si>
  <si>
    <t>Price (USD)</t>
  </si>
  <si>
    <t>Deliverables</t>
  </si>
  <si>
    <t>Installation &amp; Setup</t>
  </si>
  <si>
    <t>2 weeks</t>
  </si>
  <si>
    <t>System installation, server/cloud config, subsystem connections, initial health check</t>
  </si>
  <si>
    <t>One-time fee; travel &amp; accommodation charged separately if on-site</t>
  </si>
  <si>
    <t>Training &amp; Implementation (Standard)</t>
  </si>
  <si>
    <t>1 week</t>
  </si>
  <si>
    <t>Operator &amp; admin training, user acceptance testing, go-live support</t>
  </si>
  <si>
    <t>Up to 10 users; additional training days available at day-rate</t>
  </si>
  <si>
    <t>1 month</t>
  </si>
  <si>
    <t>End-to-end deployment: installation + configuration + integration + training + handover</t>
  </si>
  <si>
    <t>Recommended for large deployments; includes all of the above services</t>
  </si>
  <si>
    <t xml:space="preserve">  ADD-ON / DAY-RATE SERVICES</t>
  </si>
  <si>
    <t>Add-On Service</t>
  </si>
  <si>
    <t>Unit</t>
  </si>
  <si>
    <t>Description</t>
  </si>
  <si>
    <t>Additional Training Day</t>
  </si>
  <si>
    <t>Per day</t>
  </si>
  <si>
    <t>Extra on-site or remote training sessions</t>
  </si>
  <si>
    <t>Remote Technical Support</t>
  </si>
  <si>
    <t>Dedicated remote support beyond SLA</t>
  </si>
  <si>
    <t>Business hours</t>
  </si>
  <si>
    <t>Custom Integration</t>
  </si>
  <si>
    <t>Per engagement</t>
  </si>
  <si>
    <t>On request</t>
  </si>
  <si>
    <t>Bespoke connector development</t>
  </si>
  <si>
    <t>SOW required</t>
  </si>
  <si>
    <t>• Professional services fees are one-time and are not subject to the annual/perpetual licensing model.
• Travel, accommodation, and per-diem costs for on-site engagements outside the local region are charged separately.
• A Statement of Work (SOW) is issued for all engagements exceeding $5,000.</t>
  </si>
  <si>
    <t>K-SAFETY  –  5-YEAR COST COMPARISON  (Annual vs. Perpetual)</t>
  </si>
  <si>
    <t xml:space="preserve">  ALL MODULES — ANNUAL vs. PERPETUAL UNIT PRICE COMPARISON</t>
  </si>
  <si>
    <t>Perpetual Price</t>
  </si>
  <si>
    <t>Perp. Support Y2+ /yr</t>
  </si>
  <si>
    <t>5-Yr Annual Total</t>
  </si>
  <si>
    <t>5-Yr Perpetual Total</t>
  </si>
  <si>
    <t>Annual Savings</t>
  </si>
  <si>
    <t>CCTV Channel</t>
  </si>
  <si>
    <t>Facial Recognition ch.</t>
  </si>
  <si>
    <t>Video Analytics ch.</t>
  </si>
  <si>
    <t>LPR Channel</t>
  </si>
  <si>
    <t>$10,000 / year</t>
  </si>
  <si>
    <t>$40,000 one-time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</si>
</sst>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scheme val="minor"/>
    </font>
    <font>
      <b/>
      <sz val="18"/>
      <color rgb="FFF0A500"/>
      <name val="Arial"/>
    </font>
    <font>
      <i/>
      <sz val="10"/>
      <color rgb="FF4A5568"/>
      <name val="Arial"/>
    </font>
    <font>
      <b/>
      <sz val="10"/>
      <color rgb="FFFFFFFF"/>
      <name val="Arial"/>
    </font>
    <font>
      <sz val="10"/>
      <color rgb="FF4A5568"/>
      <name val="Arial"/>
    </font>
    <font>
      <b/>
      <sz val="10"/>
      <color rgb="FF4A5568"/>
      <name val="Arial"/>
    </font>
    <font>
      <i/>
      <sz val="9"/>
      <color rgb="FF4A5568"/>
      <name val="Arial"/>
    </font>
    <font>
      <b/>
      <sz val="10"/>
      <color rgb="FF27AE6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0A500"/>
      </patternFill>
    </fill>
    <fill>
      <patternFill patternType="solid">
        <fgColor rgb="FFD6E8F7"/>
      </patternFill>
    </fill>
    <fill>
      <patternFill patternType="solid">
        <fgColor rgb="FF2196C4"/>
      </patternFill>
    </fill>
    <fill>
      <patternFill patternType="solid">
        <fgColor rgb="FFF2F5F8"/>
      </patternFill>
    </fill>
    <fill>
      <patternFill patternType="solid">
        <fgColor rgb="FFFFFFFF"/>
      </patternFill>
    </fill>
    <fill>
      <patternFill patternType="solid">
        <fgColor rgb="FFFEF3E2"/>
      </patternFill>
    </fill>
    <fill>
      <patternFill patternType="solid">
        <fgColor rgb="FF1E6BA8"/>
      </patternFill>
    </fill>
    <fill>
      <patternFill patternType="solid">
        <fgColor rgb="FFE8F5E9"/>
      </patternFill>
    </fill>
    <fill>
      <patternFill patternType="solid">
        <fgColor rgb="FFF3E8FD"/>
      </patternFill>
    </fill>
  </fills>
  <borders count="10">
    <border>
      <left/>
      <right/>
      <top/>
      <bottom/>
      <diagonal/>
    </border>
    <border>
      <left style="medium">
        <color rgb="FF1E6BA8"/>
      </left>
      <right style="medium">
        <color rgb="FF1E6BA8"/>
      </right>
      <top style="medium">
        <color rgb="FF1E6BA8"/>
      </top>
      <bottom style="medium">
        <color rgb="FF1E6BA8"/>
      </bottom>
      <diagonal/>
    </border>
    <border>
      <left style="medium">
        <color rgb="FF1A3A5C"/>
      </left>
      <right style="medium">
        <color rgb="FF1A3A5C"/>
      </right>
      <top style="thin">
        <color rgb="FF1A3A5C"/>
      </top>
      <bottom style="thin">
        <color rgb="FF1A3A5C"/>
      </bottom>
      <diagonal/>
    </border>
    <border>
      <left style="medium">
        <color rgb="FFB0BEC5"/>
      </left>
      <right style="medium">
        <color rgb="FFB0BEC5"/>
      </right>
      <top style="medium">
        <color rgb="FFB0BEC5"/>
      </top>
      <bottom style="medium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medium">
        <color rgb="FFE67E22"/>
      </left>
      <right style="thin">
        <color rgb="FFD0D8E4"/>
      </right>
      <top style="medium">
        <color rgb="FFE67E22"/>
      </top>
      <bottom style="medium">
        <color rgb="FFE67E22"/>
      </bottom>
      <diagonal/>
    </border>
    <border>
      <left style="medium">
        <color rgb="FF1E6BA8"/>
      </left>
      <right style="thin">
        <color rgb="FFD0D8E4"/>
      </right>
      <top style="medium">
        <color rgb="FF1E6BA8"/>
      </top>
      <bottom style="medium">
        <color rgb="FF1E6BA8"/>
      </bottom>
      <diagonal/>
    </border>
    <border>
      <left style="medium">
        <color rgb="FF1E6BA8"/>
      </left>
      <right style="medium">
        <color rgb="FF1E6BA8"/>
      </right>
      <top style="thin">
        <color rgb="FF1E6BA8"/>
      </top>
      <bottom style="thin">
        <color rgb="FF1E6BA8"/>
      </bottom>
      <diagonal/>
    </border>
    <border>
      <left style="medium">
        <color rgb="FF27AE60"/>
      </left>
      <right style="thin">
        <color rgb="FFD0D8E4"/>
      </right>
      <top style="medium">
        <color rgb="FF27AE60"/>
      </top>
      <bottom style="medium">
        <color rgb="FF27AE60"/>
      </bottom>
      <diagonal/>
    </border>
    <border>
      <left style="medium">
        <color rgb="FF6C3483"/>
      </left>
      <right style="thin">
        <color rgb="FFD0D8E4"/>
      </right>
      <top style="medium">
        <color rgb="FF6C3483"/>
      </top>
      <bottom style="medium">
        <color rgb="FF6C348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3" fillId="5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4" fillId="7" borderId="4" xfId="0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right" vertical="center"/>
    </xf>
    <xf numFmtId="164" fontId="4" fillId="7" borderId="4" xfId="0" applyNumberFormat="1" applyFont="1" applyFill="1" applyBorder="1" applyAlignment="1">
      <alignment horizontal="right" vertical="center"/>
    </xf>
    <xf numFmtId="164" fontId="4" fillId="6" borderId="4" xfId="0" applyNumberFormat="1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center" vertical="center" wrapText="1"/>
    </xf>
    <xf numFmtId="164" fontId="4" fillId="4" borderId="4" xfId="0" applyNumberFormat="1" applyFont="1" applyFill="1" applyBorder="1" applyAlignment="1">
      <alignment horizontal="right" vertical="center"/>
    </xf>
    <xf numFmtId="0" fontId="4" fillId="6" borderId="4" xfId="0" applyFont="1" applyFill="1" applyBorder="1" applyAlignment="1">
      <alignment horizontal="left" vertical="top" wrapText="1"/>
    </xf>
    <xf numFmtId="0" fontId="5" fillId="6" borderId="4" xfId="0" applyFont="1" applyFill="1" applyBorder="1" applyAlignment="1">
      <alignment horizontal="left" vertical="top" wrapText="1"/>
    </xf>
    <xf numFmtId="0" fontId="4" fillId="7" borderId="4" xfId="0" applyFont="1" applyFill="1" applyBorder="1" applyAlignment="1">
      <alignment horizontal="left" vertical="top" wrapText="1"/>
    </xf>
    <xf numFmtId="0" fontId="5" fillId="7" borderId="4" xfId="0" applyFont="1" applyFill="1" applyBorder="1" applyAlignment="1">
      <alignment horizontal="left" vertical="top" wrapText="1"/>
    </xf>
    <xf numFmtId="164" fontId="7" fillId="6" borderId="4" xfId="0" applyNumberFormat="1" applyFont="1" applyFill="1" applyBorder="1" applyAlignment="1">
      <alignment horizontal="right" vertical="center"/>
    </xf>
    <xf numFmtId="164" fontId="0" fillId="0" borderId="0" xfId="0" applyNumberFormat="1"/>
    <xf numFmtId="0" fontId="2" fillId="4" borderId="1" xfId="0" applyFont="1" applyFill="1" applyBorder="1" applyAlignment="1">
      <alignment horizontal="left" vertical="top" wrapText="1"/>
    </xf>
    <xf numFmtId="0" fontId="0" fillId="0" borderId="0" xfId="0"/>
    <xf numFmtId="0" fontId="6" fillId="8" borderId="5" xfId="0" applyFont="1" applyFill="1" applyBorder="1" applyAlignment="1">
      <alignment horizontal="left" vertical="top" wrapText="1"/>
    </xf>
    <xf numFmtId="0" fontId="6" fillId="4" borderId="6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3" fillId="9" borderId="7" xfId="0" applyFont="1" applyFill="1" applyBorder="1" applyAlignment="1">
      <alignment horizontal="left" vertical="center" wrapText="1"/>
    </xf>
    <xf numFmtId="0" fontId="6" fillId="10" borderId="8" xfId="0" applyFont="1" applyFill="1" applyBorder="1" applyAlignment="1">
      <alignment horizontal="left" vertical="top" wrapText="1"/>
    </xf>
    <xf numFmtId="0" fontId="6" fillId="11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showGridLines="0" tabSelected="1" workbookViewId="0">
      <selection activeCell="B6" sqref="B6:D10"/>
    </sheetView>
  </sheetViews>
  <sheetFormatPr defaultRowHeight="14.4" x14ac:dyDescent="0.3"/>
  <cols>
    <col min="1" max="1" width="3" customWidth="1"/>
    <col min="2" max="2" width="28" customWidth="1"/>
    <col min="3" max="3" width="45" customWidth="1"/>
    <col min="4" max="4" width="22" customWidth="1"/>
    <col min="5" max="5" width="22.21875" bestFit="1" customWidth="1"/>
  </cols>
  <sheetData>
    <row r="1" spans="1:5" ht="16.05" customHeight="1" x14ac:dyDescent="0.3">
      <c r="A1" s="1"/>
      <c r="B1" s="1"/>
      <c r="C1" s="1"/>
      <c r="D1" s="1"/>
      <c r="E1" s="1"/>
    </row>
    <row r="2" spans="1:5" ht="36" customHeight="1" x14ac:dyDescent="0.3">
      <c r="A2" s="1"/>
      <c r="B2" s="28" t="s">
        <v>0</v>
      </c>
      <c r="C2" s="24"/>
      <c r="D2" s="24"/>
      <c r="E2" s="1"/>
    </row>
    <row r="3" spans="1:5" ht="6" customHeight="1" x14ac:dyDescent="0.3">
      <c r="A3" s="1"/>
      <c r="B3" s="1"/>
      <c r="C3" s="1"/>
      <c r="D3" s="1"/>
      <c r="E3" s="1"/>
    </row>
    <row r="4" spans="1:5" ht="4.05" customHeight="1" x14ac:dyDescent="0.3">
      <c r="A4" s="2"/>
      <c r="B4" s="2"/>
      <c r="C4" s="2"/>
      <c r="D4" s="2"/>
      <c r="E4" s="2"/>
    </row>
    <row r="5" spans="1:5" ht="12" customHeight="1" x14ac:dyDescent="0.3"/>
    <row r="6" spans="1:5" ht="18" customHeight="1" x14ac:dyDescent="0.3">
      <c r="B6" s="23" t="s">
        <v>1</v>
      </c>
      <c r="C6" s="24"/>
      <c r="D6" s="24"/>
    </row>
    <row r="7" spans="1:5" ht="18" customHeight="1" x14ac:dyDescent="0.3">
      <c r="B7" s="24"/>
      <c r="C7" s="24"/>
      <c r="D7" s="24"/>
    </row>
    <row r="8" spans="1:5" ht="18" customHeight="1" x14ac:dyDescent="0.3">
      <c r="B8" s="24"/>
      <c r="C8" s="24"/>
      <c r="D8" s="24"/>
    </row>
    <row r="9" spans="1:5" ht="18" customHeight="1" x14ac:dyDescent="0.3">
      <c r="B9" s="24"/>
      <c r="C9" s="24"/>
      <c r="D9" s="24"/>
    </row>
    <row r="10" spans="1:5" ht="18" customHeight="1" x14ac:dyDescent="0.3">
      <c r="B10" s="24"/>
      <c r="C10" s="24"/>
      <c r="D10" s="24"/>
    </row>
    <row r="12" spans="1:5" ht="22.05" customHeight="1" x14ac:dyDescent="0.3">
      <c r="B12" s="27" t="s">
        <v>2</v>
      </c>
      <c r="C12" s="24"/>
      <c r="D12" s="24"/>
    </row>
    <row r="13" spans="1:5" ht="24" customHeight="1" x14ac:dyDescent="0.3">
      <c r="A13" s="3"/>
      <c r="B13" s="3" t="s">
        <v>3</v>
      </c>
      <c r="C13" s="3" t="s">
        <v>4</v>
      </c>
      <c r="D13" s="3" t="s">
        <v>5</v>
      </c>
      <c r="E13" s="3" t="s">
        <v>6</v>
      </c>
    </row>
    <row r="14" spans="1:5" ht="19.95" customHeight="1" x14ac:dyDescent="0.3">
      <c r="A14" s="4"/>
      <c r="B14" s="5" t="s">
        <v>7</v>
      </c>
      <c r="C14" s="6" t="s">
        <v>210</v>
      </c>
      <c r="D14" s="6" t="s">
        <v>211</v>
      </c>
      <c r="E14" s="6" t="s">
        <v>8</v>
      </c>
    </row>
    <row r="15" spans="1:5" ht="19.95" customHeight="1" x14ac:dyDescent="0.3">
      <c r="A15" s="7"/>
      <c r="B15" s="8" t="s">
        <v>9</v>
      </c>
      <c r="C15" s="9" t="s">
        <v>10</v>
      </c>
      <c r="D15" s="9" t="s">
        <v>11</v>
      </c>
      <c r="E15" s="9" t="s">
        <v>12</v>
      </c>
    </row>
    <row r="16" spans="1:5" ht="19.95" customHeight="1" x14ac:dyDescent="0.3">
      <c r="A16" s="4"/>
      <c r="B16" s="5" t="s">
        <v>13</v>
      </c>
      <c r="C16" s="6" t="s">
        <v>14</v>
      </c>
      <c r="D16" s="6" t="s">
        <v>15</v>
      </c>
      <c r="E16" s="6" t="s">
        <v>12</v>
      </c>
    </row>
    <row r="17" spans="1:5" ht="19.95" customHeight="1" x14ac:dyDescent="0.3">
      <c r="A17" s="7"/>
      <c r="B17" s="8" t="s">
        <v>16</v>
      </c>
      <c r="C17" s="9" t="s">
        <v>17</v>
      </c>
      <c r="D17" s="9" t="s">
        <v>18</v>
      </c>
      <c r="E17" s="9" t="s">
        <v>12</v>
      </c>
    </row>
    <row r="18" spans="1:5" ht="19.95" customHeight="1" x14ac:dyDescent="0.3">
      <c r="A18" s="4"/>
      <c r="B18" s="5" t="s">
        <v>19</v>
      </c>
      <c r="C18" s="6" t="s">
        <v>20</v>
      </c>
      <c r="D18" s="6" t="s">
        <v>21</v>
      </c>
      <c r="E18" s="6" t="s">
        <v>12</v>
      </c>
    </row>
    <row r="19" spans="1:5" ht="19.95" customHeight="1" x14ac:dyDescent="0.3">
      <c r="A19" s="7"/>
      <c r="B19" s="8" t="s">
        <v>22</v>
      </c>
      <c r="C19" s="9" t="s">
        <v>23</v>
      </c>
      <c r="D19" s="9" t="s">
        <v>24</v>
      </c>
      <c r="E19" s="9" t="s">
        <v>25</v>
      </c>
    </row>
    <row r="20" spans="1:5" ht="19.95" customHeight="1" x14ac:dyDescent="0.3">
      <c r="A20" s="4"/>
      <c r="B20" s="5" t="s">
        <v>26</v>
      </c>
      <c r="C20" s="6" t="s">
        <v>27</v>
      </c>
      <c r="D20" s="6" t="s">
        <v>28</v>
      </c>
      <c r="E20" s="6" t="s">
        <v>29</v>
      </c>
    </row>
    <row r="21" spans="1:5" ht="19.95" customHeight="1" x14ac:dyDescent="0.3">
      <c r="A21" s="7"/>
      <c r="B21" s="8" t="s">
        <v>30</v>
      </c>
      <c r="C21" s="9" t="s">
        <v>31</v>
      </c>
      <c r="D21" s="9" t="s">
        <v>31</v>
      </c>
      <c r="E21" s="9" t="s">
        <v>32</v>
      </c>
    </row>
    <row r="22" spans="1:5" ht="19.95" customHeight="1" x14ac:dyDescent="0.3">
      <c r="A22" s="4"/>
      <c r="B22" s="5" t="s">
        <v>33</v>
      </c>
      <c r="C22" s="6" t="s">
        <v>34</v>
      </c>
      <c r="D22" s="6" t="s">
        <v>34</v>
      </c>
      <c r="E22" s="6" t="s">
        <v>35</v>
      </c>
    </row>
    <row r="23" spans="1:5" ht="19.95" customHeight="1" x14ac:dyDescent="0.3">
      <c r="A23" s="7"/>
      <c r="B23" s="8" t="s">
        <v>36</v>
      </c>
      <c r="C23" s="9" t="s">
        <v>37</v>
      </c>
      <c r="D23" s="9" t="s">
        <v>37</v>
      </c>
      <c r="E23" s="9" t="s">
        <v>38</v>
      </c>
    </row>
    <row r="24" spans="1:5" ht="19.95" customHeight="1" x14ac:dyDescent="0.3">
      <c r="A24" s="4"/>
      <c r="B24" s="5" t="s">
        <v>39</v>
      </c>
      <c r="C24" s="6" t="s">
        <v>40</v>
      </c>
      <c r="D24" s="6" t="s">
        <v>40</v>
      </c>
      <c r="E24" s="6" t="s">
        <v>41</v>
      </c>
    </row>
    <row r="25" spans="1:5" ht="19.95" customHeight="1" x14ac:dyDescent="0.3">
      <c r="A25" s="7"/>
      <c r="B25" s="8" t="s">
        <v>42</v>
      </c>
      <c r="C25" s="9" t="s">
        <v>43</v>
      </c>
      <c r="D25" s="9" t="s">
        <v>43</v>
      </c>
      <c r="E25" s="9" t="s">
        <v>44</v>
      </c>
    </row>
    <row r="26" spans="1:5" ht="19.95" customHeight="1" x14ac:dyDescent="0.3">
      <c r="A26" s="4"/>
      <c r="B26" s="5" t="s">
        <v>45</v>
      </c>
      <c r="C26" s="6" t="s">
        <v>46</v>
      </c>
      <c r="D26" s="6" t="s">
        <v>47</v>
      </c>
      <c r="E26" s="6" t="s">
        <v>48</v>
      </c>
    </row>
    <row r="27" spans="1:5" ht="19.95" customHeight="1" x14ac:dyDescent="0.3">
      <c r="A27" s="7"/>
      <c r="B27" s="8" t="s">
        <v>49</v>
      </c>
      <c r="C27" s="9" t="s">
        <v>50</v>
      </c>
      <c r="D27" s="9" t="s">
        <v>50</v>
      </c>
      <c r="E27" s="9" t="s">
        <v>51</v>
      </c>
    </row>
    <row r="28" spans="1:5" ht="19.95" customHeight="1" x14ac:dyDescent="0.3">
      <c r="A28" s="4"/>
      <c r="B28" s="5" t="s">
        <v>52</v>
      </c>
      <c r="C28" s="6" t="s">
        <v>53</v>
      </c>
      <c r="D28" s="6" t="s">
        <v>53</v>
      </c>
      <c r="E28" s="6" t="s">
        <v>54</v>
      </c>
    </row>
    <row r="29" spans="1:5" ht="19.95" customHeight="1" x14ac:dyDescent="0.3">
      <c r="A29" s="7"/>
      <c r="B29" s="8" t="s">
        <v>55</v>
      </c>
      <c r="C29" s="9" t="s">
        <v>56</v>
      </c>
      <c r="D29" s="9" t="s">
        <v>56</v>
      </c>
      <c r="E29" s="9" t="s">
        <v>57</v>
      </c>
    </row>
    <row r="30" spans="1:5" ht="10.050000000000001" customHeight="1" x14ac:dyDescent="0.3"/>
    <row r="31" spans="1:5" ht="16.05" customHeight="1" x14ac:dyDescent="0.3">
      <c r="B31" s="25" t="s">
        <v>58</v>
      </c>
      <c r="C31" s="24"/>
      <c r="D31" s="24"/>
    </row>
    <row r="32" spans="1:5" ht="16.05" customHeight="1" x14ac:dyDescent="0.3">
      <c r="B32" s="24"/>
      <c r="C32" s="24"/>
      <c r="D32" s="24"/>
    </row>
    <row r="33" spans="2:4" ht="16.05" customHeight="1" x14ac:dyDescent="0.3">
      <c r="B33" s="24"/>
      <c r="C33" s="24"/>
      <c r="D33" s="24"/>
    </row>
    <row r="34" spans="2:4" ht="16.05" customHeight="1" x14ac:dyDescent="0.3">
      <c r="B34" s="24"/>
      <c r="C34" s="24"/>
      <c r="D34" s="24"/>
    </row>
    <row r="36" spans="2:4" ht="16.05" customHeight="1" x14ac:dyDescent="0.3">
      <c r="B36" s="26" t="s">
        <v>59</v>
      </c>
      <c r="C36" s="24"/>
      <c r="D36" s="24"/>
    </row>
    <row r="37" spans="2:4" ht="16.05" customHeight="1" x14ac:dyDescent="0.3">
      <c r="B37" s="24"/>
      <c r="C37" s="24"/>
      <c r="D37" s="24"/>
    </row>
  </sheetData>
  <mergeCells count="5">
    <mergeCell ref="B6:D10"/>
    <mergeCell ref="B31:D34"/>
    <mergeCell ref="B36:D37"/>
    <mergeCell ref="B12:D1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showGridLines="0" workbookViewId="0">
      <selection activeCell="D9" sqref="D9"/>
    </sheetView>
  </sheetViews>
  <sheetFormatPr defaultRowHeight="14.4" x14ac:dyDescent="0.3"/>
  <cols>
    <col min="1" max="1" width="3" customWidth="1"/>
    <col min="2" max="2" width="34" customWidth="1"/>
    <col min="3" max="3" width="20" customWidth="1"/>
    <col min="4" max="4" width="22" customWidth="1"/>
    <col min="5" max="5" width="24" customWidth="1"/>
    <col min="6" max="6" width="28" customWidth="1"/>
    <col min="7" max="7" width="3" customWidth="1"/>
  </cols>
  <sheetData>
    <row r="1" spans="1:7" ht="16.05" customHeight="1" x14ac:dyDescent="0.3">
      <c r="A1" s="1"/>
      <c r="B1" s="1"/>
      <c r="C1" s="1"/>
      <c r="D1" s="1"/>
      <c r="E1" s="1"/>
      <c r="F1" s="1"/>
      <c r="G1" s="1"/>
    </row>
    <row r="2" spans="1:7" ht="36" customHeight="1" x14ac:dyDescent="0.3">
      <c r="A2" s="1"/>
      <c r="B2" s="28" t="s">
        <v>60</v>
      </c>
      <c r="C2" s="24"/>
      <c r="D2" s="24"/>
      <c r="E2" s="24"/>
      <c r="F2" s="24"/>
      <c r="G2" s="1"/>
    </row>
    <row r="3" spans="1:7" ht="6" customHeight="1" x14ac:dyDescent="0.3">
      <c r="A3" s="1"/>
      <c r="B3" s="1"/>
      <c r="C3" s="1"/>
      <c r="D3" s="1"/>
      <c r="E3" s="1"/>
      <c r="F3" s="1"/>
      <c r="G3" s="1"/>
    </row>
    <row r="4" spans="1:7" ht="4.05" customHeight="1" x14ac:dyDescent="0.3">
      <c r="A4" s="2"/>
      <c r="B4" s="2"/>
      <c r="C4" s="2"/>
      <c r="D4" s="2"/>
      <c r="E4" s="2"/>
      <c r="F4" s="2"/>
      <c r="G4" s="2"/>
    </row>
    <row r="5" spans="1:7" ht="12" customHeight="1" x14ac:dyDescent="0.3"/>
    <row r="6" spans="1:7" ht="24" customHeight="1" x14ac:dyDescent="0.3">
      <c r="A6" s="3"/>
      <c r="B6" s="3" t="s">
        <v>61</v>
      </c>
      <c r="C6" s="3" t="s">
        <v>62</v>
      </c>
      <c r="D6" s="3" t="s">
        <v>63</v>
      </c>
      <c r="E6" s="3" t="s">
        <v>64</v>
      </c>
      <c r="F6" s="3" t="s">
        <v>6</v>
      </c>
    </row>
    <row r="7" spans="1:7" ht="22.05" customHeight="1" x14ac:dyDescent="0.3">
      <c r="B7" s="29" t="s">
        <v>65</v>
      </c>
      <c r="C7" s="24"/>
      <c r="D7" s="24"/>
      <c r="E7" s="24"/>
      <c r="F7" s="24"/>
    </row>
    <row r="8" spans="1:7" ht="19.95" customHeight="1" x14ac:dyDescent="0.3">
      <c r="A8" s="4"/>
      <c r="B8" s="5" t="s">
        <v>66</v>
      </c>
      <c r="C8" s="10">
        <v>10000</v>
      </c>
      <c r="D8" s="10">
        <v>40000</v>
      </c>
      <c r="E8" s="6" t="s">
        <v>67</v>
      </c>
      <c r="F8" s="6" t="s">
        <v>8</v>
      </c>
    </row>
    <row r="9" spans="1:7" ht="19.95" customHeight="1" x14ac:dyDescent="0.3">
      <c r="A9" s="7"/>
      <c r="B9" s="7" t="s">
        <v>68</v>
      </c>
      <c r="C9" s="9" t="s">
        <v>69</v>
      </c>
      <c r="D9" s="9" t="s">
        <v>69</v>
      </c>
      <c r="E9" s="9" t="s">
        <v>70</v>
      </c>
      <c r="F9" s="9"/>
    </row>
    <row r="10" spans="1:7" ht="19.95" customHeight="1" x14ac:dyDescent="0.3">
      <c r="A10" s="4"/>
      <c r="B10" s="4" t="s">
        <v>71</v>
      </c>
      <c r="C10" s="6" t="s">
        <v>69</v>
      </c>
      <c r="D10" s="6" t="s">
        <v>69</v>
      </c>
      <c r="E10" s="6" t="s">
        <v>70</v>
      </c>
      <c r="F10" s="6"/>
    </row>
    <row r="11" spans="1:7" ht="19.95" customHeight="1" x14ac:dyDescent="0.3">
      <c r="A11" s="7"/>
      <c r="B11" s="7" t="s">
        <v>72</v>
      </c>
      <c r="C11" s="9" t="s">
        <v>69</v>
      </c>
      <c r="D11" s="9" t="s">
        <v>69</v>
      </c>
      <c r="E11" s="9" t="s">
        <v>70</v>
      </c>
      <c r="F11" s="9"/>
    </row>
    <row r="12" spans="1:7" ht="19.95" customHeight="1" x14ac:dyDescent="0.3">
      <c r="A12" s="4"/>
      <c r="B12" s="4" t="s">
        <v>73</v>
      </c>
      <c r="C12" s="6" t="s">
        <v>69</v>
      </c>
      <c r="D12" s="6" t="s">
        <v>69</v>
      </c>
      <c r="E12" s="6" t="s">
        <v>70</v>
      </c>
      <c r="F12" s="6"/>
    </row>
    <row r="13" spans="1:7" ht="19.95" customHeight="1" x14ac:dyDescent="0.3">
      <c r="A13" s="7"/>
      <c r="B13" s="7" t="s">
        <v>74</v>
      </c>
      <c r="C13" s="9" t="s">
        <v>69</v>
      </c>
      <c r="D13" s="9" t="s">
        <v>69</v>
      </c>
      <c r="E13" s="9" t="s">
        <v>70</v>
      </c>
      <c r="F13" s="9"/>
    </row>
    <row r="14" spans="1:7" ht="19.95" customHeight="1" x14ac:dyDescent="0.3">
      <c r="A14" s="4"/>
      <c r="B14" s="4" t="s">
        <v>75</v>
      </c>
      <c r="C14" s="6" t="s">
        <v>69</v>
      </c>
      <c r="D14" s="6" t="s">
        <v>69</v>
      </c>
      <c r="E14" s="6" t="s">
        <v>70</v>
      </c>
      <c r="F14" s="6"/>
    </row>
    <row r="15" spans="1:7" ht="19.95" customHeight="1" x14ac:dyDescent="0.3">
      <c r="A15" s="7"/>
      <c r="B15" s="7" t="s">
        <v>76</v>
      </c>
      <c r="C15" s="9" t="s">
        <v>69</v>
      </c>
      <c r="D15" s="9" t="s">
        <v>69</v>
      </c>
      <c r="E15" s="9" t="s">
        <v>70</v>
      </c>
      <c r="F15" s="9"/>
    </row>
    <row r="16" spans="1:7" ht="19.95" customHeight="1" x14ac:dyDescent="0.3">
      <c r="A16" s="4"/>
      <c r="B16" s="4" t="s">
        <v>77</v>
      </c>
      <c r="C16" s="6" t="s">
        <v>69</v>
      </c>
      <c r="D16" s="6" t="s">
        <v>69</v>
      </c>
      <c r="E16" s="6" t="s">
        <v>70</v>
      </c>
      <c r="F16" s="6"/>
    </row>
    <row r="17" spans="1:6" ht="19.95" customHeight="1" x14ac:dyDescent="0.3">
      <c r="A17" s="7"/>
      <c r="B17" s="7" t="s">
        <v>78</v>
      </c>
      <c r="C17" s="9" t="s">
        <v>69</v>
      </c>
      <c r="D17" s="9" t="s">
        <v>69</v>
      </c>
      <c r="E17" s="9" t="s">
        <v>70</v>
      </c>
      <c r="F17" s="9"/>
    </row>
    <row r="18" spans="1:6" ht="19.95" customHeight="1" x14ac:dyDescent="0.3">
      <c r="A18" s="4"/>
      <c r="B18" s="4" t="s">
        <v>79</v>
      </c>
      <c r="C18" s="6" t="s">
        <v>69</v>
      </c>
      <c r="D18" s="6" t="s">
        <v>69</v>
      </c>
      <c r="E18" s="6" t="s">
        <v>70</v>
      </c>
      <c r="F18" s="6"/>
    </row>
    <row r="19" spans="1:6" ht="10.050000000000001" customHeight="1" x14ac:dyDescent="0.3"/>
    <row r="20" spans="1:6" ht="22.05" customHeight="1" x14ac:dyDescent="0.3">
      <c r="B20" s="29" t="s">
        <v>80</v>
      </c>
      <c r="C20" s="24"/>
      <c r="D20" s="24"/>
      <c r="E20" s="24"/>
      <c r="F20" s="24"/>
    </row>
    <row r="21" spans="1:6" ht="19.95" customHeight="1" x14ac:dyDescent="0.3">
      <c r="A21" s="7"/>
      <c r="B21" s="8" t="s">
        <v>9</v>
      </c>
      <c r="C21" s="11">
        <v>100</v>
      </c>
      <c r="D21" s="11">
        <v>350</v>
      </c>
      <c r="E21" s="9" t="s">
        <v>67</v>
      </c>
      <c r="F21" s="9" t="s">
        <v>81</v>
      </c>
    </row>
    <row r="22" spans="1:6" ht="10.050000000000001" customHeight="1" x14ac:dyDescent="0.3"/>
    <row r="23" spans="1:6" ht="22.05" customHeight="1" x14ac:dyDescent="0.3">
      <c r="B23" s="29" t="s">
        <v>82</v>
      </c>
      <c r="C23" s="24"/>
      <c r="D23" s="24"/>
      <c r="E23" s="24"/>
      <c r="F23" s="24"/>
    </row>
    <row r="24" spans="1:6" ht="19.95" customHeight="1" x14ac:dyDescent="0.3">
      <c r="A24" s="4"/>
      <c r="B24" s="5" t="s">
        <v>83</v>
      </c>
      <c r="C24" s="12">
        <v>625</v>
      </c>
      <c r="D24" s="12">
        <v>2188</v>
      </c>
      <c r="E24" s="6" t="s">
        <v>67</v>
      </c>
      <c r="F24" s="6" t="s">
        <v>81</v>
      </c>
    </row>
    <row r="25" spans="1:6" ht="19.95" customHeight="1" x14ac:dyDescent="0.3">
      <c r="A25" s="7"/>
      <c r="B25" s="8" t="s">
        <v>16</v>
      </c>
      <c r="C25" s="11">
        <v>556</v>
      </c>
      <c r="D25" s="11">
        <v>1946</v>
      </c>
      <c r="E25" s="9" t="s">
        <v>67</v>
      </c>
      <c r="F25" s="9" t="s">
        <v>81</v>
      </c>
    </row>
    <row r="26" spans="1:6" ht="19.95" customHeight="1" x14ac:dyDescent="0.3">
      <c r="A26" s="4"/>
      <c r="B26" s="5" t="s">
        <v>84</v>
      </c>
      <c r="C26" s="12">
        <v>500</v>
      </c>
      <c r="D26" s="12">
        <v>1750</v>
      </c>
      <c r="E26" s="6" t="s">
        <v>67</v>
      </c>
      <c r="F26" s="6" t="s">
        <v>81</v>
      </c>
    </row>
    <row r="27" spans="1:6" ht="19.95" customHeight="1" x14ac:dyDescent="0.3">
      <c r="A27" s="7"/>
      <c r="B27" s="8" t="s">
        <v>22</v>
      </c>
      <c r="C27" s="11">
        <v>100</v>
      </c>
      <c r="D27" s="11">
        <v>350</v>
      </c>
      <c r="E27" s="9" t="s">
        <v>67</v>
      </c>
      <c r="F27" s="9" t="s">
        <v>85</v>
      </c>
    </row>
    <row r="28" spans="1:6" ht="10.050000000000001" customHeight="1" x14ac:dyDescent="0.3"/>
    <row r="29" spans="1:6" ht="22.05" customHeight="1" x14ac:dyDescent="0.3">
      <c r="B29" s="29" t="s">
        <v>86</v>
      </c>
      <c r="C29" s="24"/>
      <c r="D29" s="24"/>
      <c r="E29" s="24"/>
      <c r="F29" s="24"/>
    </row>
    <row r="30" spans="1:6" ht="24" customHeight="1" x14ac:dyDescent="0.3">
      <c r="A30" s="4"/>
      <c r="B30" s="5" t="s">
        <v>87</v>
      </c>
      <c r="C30" s="12">
        <v>5</v>
      </c>
      <c r="D30" s="12">
        <v>18</v>
      </c>
      <c r="E30" s="6" t="s">
        <v>67</v>
      </c>
      <c r="F30" s="4" t="s">
        <v>88</v>
      </c>
    </row>
    <row r="31" spans="1:6" ht="10.050000000000001" customHeight="1" x14ac:dyDescent="0.3"/>
    <row r="32" spans="1:6" ht="16.05" customHeight="1" x14ac:dyDescent="0.3">
      <c r="B32" s="25" t="s">
        <v>89</v>
      </c>
      <c r="C32" s="24"/>
      <c r="D32" s="24"/>
      <c r="E32" s="24"/>
      <c r="F32" s="24"/>
    </row>
    <row r="33" spans="2:6" ht="16.05" customHeight="1" x14ac:dyDescent="0.3">
      <c r="B33" s="24"/>
      <c r="C33" s="24"/>
      <c r="D33" s="24"/>
      <c r="E33" s="24"/>
      <c r="F33" s="24"/>
    </row>
    <row r="34" spans="2:6" ht="16.05" customHeight="1" x14ac:dyDescent="0.3">
      <c r="B34" s="24"/>
      <c r="C34" s="24"/>
      <c r="D34" s="24"/>
      <c r="E34" s="24"/>
      <c r="F34" s="24"/>
    </row>
    <row r="35" spans="2:6" ht="16.05" customHeight="1" x14ac:dyDescent="0.3">
      <c r="B35" s="24"/>
      <c r="C35" s="24"/>
      <c r="D35" s="24"/>
      <c r="E35" s="24"/>
      <c r="F35" s="24"/>
    </row>
    <row r="36" spans="2:6" ht="16.05" customHeight="1" x14ac:dyDescent="0.3">
      <c r="B36" s="24"/>
      <c r="C36" s="24"/>
      <c r="D36" s="24"/>
      <c r="E36" s="24"/>
      <c r="F36" s="24"/>
    </row>
  </sheetData>
  <mergeCells count="6">
    <mergeCell ref="B29:F29"/>
    <mergeCell ref="B7:F7"/>
    <mergeCell ref="B32:F36"/>
    <mergeCell ref="B2:F2"/>
    <mergeCell ref="B20:F20"/>
    <mergeCell ref="B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showGridLines="0" workbookViewId="0">
      <selection activeCell="B31" sqref="B31"/>
    </sheetView>
  </sheetViews>
  <sheetFormatPr defaultRowHeight="14.4" x14ac:dyDescent="0.3"/>
  <cols>
    <col min="1" max="1" width="3" customWidth="1"/>
    <col min="2" max="2" width="28" customWidth="1"/>
    <col min="3" max="3" width="57.21875" customWidth="1"/>
    <col min="4" max="5" width="22" customWidth="1"/>
    <col min="6" max="6" width="28" customWidth="1"/>
    <col min="7" max="7" width="3" customWidth="1"/>
  </cols>
  <sheetData>
    <row r="1" spans="1:7" ht="16.05" customHeight="1" x14ac:dyDescent="0.3">
      <c r="A1" s="1"/>
      <c r="B1" s="1"/>
      <c r="C1" s="1"/>
      <c r="D1" s="1"/>
      <c r="E1" s="1"/>
      <c r="F1" s="1"/>
      <c r="G1" s="1"/>
    </row>
    <row r="2" spans="1:7" ht="36" customHeight="1" x14ac:dyDescent="0.3">
      <c r="A2" s="1"/>
      <c r="B2" s="28" t="s">
        <v>90</v>
      </c>
      <c r="C2" s="24"/>
      <c r="D2" s="24"/>
      <c r="E2" s="24"/>
      <c r="F2" s="24"/>
      <c r="G2" s="1"/>
    </row>
    <row r="3" spans="1:7" ht="6" customHeight="1" x14ac:dyDescent="0.3">
      <c r="A3" s="1"/>
      <c r="B3" s="1"/>
      <c r="C3" s="1"/>
      <c r="D3" s="1"/>
      <c r="E3" s="1"/>
      <c r="F3" s="1"/>
      <c r="G3" s="1"/>
    </row>
    <row r="4" spans="1:7" ht="4.05" customHeight="1" x14ac:dyDescent="0.3">
      <c r="A4" s="2"/>
      <c r="B4" s="2"/>
      <c r="C4" s="2"/>
      <c r="D4" s="2"/>
      <c r="E4" s="2"/>
      <c r="F4" s="2"/>
      <c r="G4" s="2"/>
    </row>
    <row r="5" spans="1:7" ht="12" customHeight="1" x14ac:dyDescent="0.3"/>
    <row r="6" spans="1:7" ht="18" customHeight="1" x14ac:dyDescent="0.3">
      <c r="B6" s="23" t="s">
        <v>91</v>
      </c>
      <c r="C6" s="24"/>
      <c r="D6" s="24"/>
      <c r="E6" s="24"/>
      <c r="F6" s="24"/>
    </row>
    <row r="7" spans="1:7" ht="18" customHeight="1" x14ac:dyDescent="0.3">
      <c r="B7" s="24"/>
      <c r="C7" s="24"/>
      <c r="D7" s="24"/>
      <c r="E7" s="24"/>
      <c r="F7" s="24"/>
    </row>
    <row r="8" spans="1:7" ht="18" customHeight="1" x14ac:dyDescent="0.3">
      <c r="B8" s="24"/>
      <c r="C8" s="24"/>
      <c r="D8" s="24"/>
      <c r="E8" s="24"/>
      <c r="F8" s="24"/>
    </row>
    <row r="10" spans="1:7" ht="24" customHeight="1" x14ac:dyDescent="0.3">
      <c r="A10" s="3"/>
      <c r="B10" s="3" t="s">
        <v>92</v>
      </c>
      <c r="C10" s="3" t="s">
        <v>93</v>
      </c>
      <c r="D10" s="3" t="s">
        <v>94</v>
      </c>
      <c r="E10" s="3" t="s">
        <v>95</v>
      </c>
      <c r="F10" s="3" t="s">
        <v>6</v>
      </c>
    </row>
    <row r="11" spans="1:7" x14ac:dyDescent="0.3">
      <c r="A11" s="4"/>
      <c r="B11" s="5" t="s">
        <v>96</v>
      </c>
      <c r="C11" s="4" t="s">
        <v>97</v>
      </c>
      <c r="D11" s="12">
        <v>5</v>
      </c>
      <c r="E11" s="12">
        <v>18</v>
      </c>
      <c r="F11" s="4" t="s">
        <v>98</v>
      </c>
    </row>
    <row r="12" spans="1:7" x14ac:dyDescent="0.3">
      <c r="A12" s="7"/>
      <c r="B12" s="8" t="s">
        <v>99</v>
      </c>
      <c r="C12" s="7" t="s">
        <v>100</v>
      </c>
      <c r="D12" s="11">
        <v>5</v>
      </c>
      <c r="E12" s="11">
        <v>18</v>
      </c>
      <c r="F12" s="7" t="s">
        <v>98</v>
      </c>
    </row>
    <row r="13" spans="1:7" x14ac:dyDescent="0.3">
      <c r="A13" s="4"/>
      <c r="B13" s="5" t="s">
        <v>101</v>
      </c>
      <c r="C13" s="4" t="s">
        <v>102</v>
      </c>
      <c r="D13" s="12">
        <v>5</v>
      </c>
      <c r="E13" s="12">
        <v>18</v>
      </c>
      <c r="F13" s="4" t="s">
        <v>98</v>
      </c>
    </row>
    <row r="14" spans="1:7" x14ac:dyDescent="0.3">
      <c r="A14" s="7"/>
      <c r="B14" s="8" t="s">
        <v>103</v>
      </c>
      <c r="C14" s="7" t="s">
        <v>104</v>
      </c>
      <c r="D14" s="11">
        <v>5</v>
      </c>
      <c r="E14" s="11">
        <v>18</v>
      </c>
      <c r="F14" s="7" t="s">
        <v>98</v>
      </c>
    </row>
    <row r="15" spans="1:7" x14ac:dyDescent="0.3">
      <c r="A15" s="4"/>
      <c r="B15" s="5" t="s">
        <v>105</v>
      </c>
      <c r="C15" s="4" t="s">
        <v>106</v>
      </c>
      <c r="D15" s="12">
        <v>5</v>
      </c>
      <c r="E15" s="12">
        <v>18</v>
      </c>
      <c r="F15" s="4" t="s">
        <v>98</v>
      </c>
    </row>
    <row r="16" spans="1:7" x14ac:dyDescent="0.3">
      <c r="A16" s="7"/>
      <c r="B16" s="8" t="s">
        <v>107</v>
      </c>
      <c r="C16" s="7" t="s">
        <v>108</v>
      </c>
      <c r="D16" s="11">
        <v>5</v>
      </c>
      <c r="E16" s="11">
        <v>18</v>
      </c>
      <c r="F16" s="7" t="s">
        <v>98</v>
      </c>
    </row>
    <row r="17" spans="1:6" x14ac:dyDescent="0.3">
      <c r="A17" s="4"/>
      <c r="B17" s="5" t="s">
        <v>109</v>
      </c>
      <c r="C17" s="4" t="s">
        <v>110</v>
      </c>
      <c r="D17" s="12">
        <v>5</v>
      </c>
      <c r="E17" s="12">
        <v>18</v>
      </c>
      <c r="F17" s="4" t="s">
        <v>98</v>
      </c>
    </row>
    <row r="19" spans="1:6" ht="22.05" customHeight="1" x14ac:dyDescent="0.3">
      <c r="B19" s="27" t="s">
        <v>111</v>
      </c>
      <c r="C19" s="24"/>
      <c r="D19" s="24"/>
      <c r="E19" s="24"/>
      <c r="F19" s="24"/>
    </row>
    <row r="20" spans="1:6" ht="24" customHeight="1" x14ac:dyDescent="0.3">
      <c r="A20" s="3"/>
      <c r="B20" s="3" t="s">
        <v>112</v>
      </c>
      <c r="C20" s="3" t="s">
        <v>113</v>
      </c>
      <c r="D20" s="3" t="s">
        <v>114</v>
      </c>
      <c r="E20" s="3" t="s">
        <v>115</v>
      </c>
      <c r="F20" s="3" t="s">
        <v>6</v>
      </c>
    </row>
    <row r="21" spans="1:6" ht="19.95" customHeight="1" x14ac:dyDescent="0.3">
      <c r="A21" s="4"/>
      <c r="B21" s="5" t="s">
        <v>116</v>
      </c>
      <c r="C21" s="12">
        <v>5</v>
      </c>
      <c r="D21" s="12">
        <v>18</v>
      </c>
      <c r="E21" s="6" t="s">
        <v>117</v>
      </c>
      <c r="F21" s="6" t="s">
        <v>118</v>
      </c>
    </row>
    <row r="22" spans="1:6" ht="19.95" customHeight="1" x14ac:dyDescent="0.3">
      <c r="A22" s="7"/>
      <c r="B22" s="8" t="s">
        <v>119</v>
      </c>
      <c r="C22" s="11">
        <v>4</v>
      </c>
      <c r="D22" s="11">
        <v>14</v>
      </c>
      <c r="E22" s="9" t="s">
        <v>120</v>
      </c>
      <c r="F22" s="9" t="s">
        <v>121</v>
      </c>
    </row>
    <row r="23" spans="1:6" ht="19.95" customHeight="1" x14ac:dyDescent="0.3">
      <c r="A23" s="4"/>
      <c r="B23" s="5" t="s">
        <v>122</v>
      </c>
      <c r="C23" s="12">
        <v>3</v>
      </c>
      <c r="D23" s="12">
        <v>11</v>
      </c>
      <c r="E23" s="6" t="s">
        <v>123</v>
      </c>
      <c r="F23" s="6" t="s">
        <v>124</v>
      </c>
    </row>
    <row r="24" spans="1:6" ht="19.95" customHeight="1" x14ac:dyDescent="0.3">
      <c r="A24" s="7"/>
      <c r="B24" s="8" t="s">
        <v>125</v>
      </c>
      <c r="C24" s="7" t="s">
        <v>126</v>
      </c>
      <c r="D24" s="7" t="s">
        <v>126</v>
      </c>
      <c r="E24" s="9" t="s">
        <v>127</v>
      </c>
      <c r="F24" s="9" t="s">
        <v>128</v>
      </c>
    </row>
    <row r="25" spans="1:6" ht="10.050000000000001" customHeight="1" x14ac:dyDescent="0.3"/>
    <row r="26" spans="1:6" ht="16.05" customHeight="1" x14ac:dyDescent="0.3">
      <c r="B26" s="30" t="s">
        <v>129</v>
      </c>
      <c r="C26" s="24"/>
      <c r="D26" s="24"/>
      <c r="E26" s="24"/>
      <c r="F26" s="24"/>
    </row>
    <row r="27" spans="1:6" ht="16.05" customHeight="1" x14ac:dyDescent="0.3">
      <c r="B27" s="24"/>
      <c r="C27" s="24"/>
      <c r="D27" s="24"/>
      <c r="E27" s="24"/>
      <c r="F27" s="24"/>
    </row>
    <row r="28" spans="1:6" ht="16.05" customHeight="1" x14ac:dyDescent="0.3">
      <c r="B28" s="24"/>
      <c r="C28" s="24"/>
      <c r="D28" s="24"/>
      <c r="E28" s="24"/>
      <c r="F28" s="24"/>
    </row>
    <row r="29" spans="1:6" ht="16.05" customHeight="1" x14ac:dyDescent="0.3">
      <c r="B29" s="24"/>
      <c r="C29" s="24"/>
      <c r="D29" s="24"/>
      <c r="E29" s="24"/>
      <c r="F29" s="24"/>
    </row>
  </sheetData>
  <mergeCells count="4">
    <mergeCell ref="B2:F2"/>
    <mergeCell ref="B6:F8"/>
    <mergeCell ref="B26:F29"/>
    <mergeCell ref="B19:F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showGridLines="0" workbookViewId="0">
      <selection activeCell="E12" sqref="E12"/>
    </sheetView>
  </sheetViews>
  <sheetFormatPr defaultRowHeight="14.4" x14ac:dyDescent="0.3"/>
  <cols>
    <col min="1" max="1" width="3" customWidth="1"/>
    <col min="2" max="2" width="20" customWidth="1"/>
    <col min="3" max="4" width="22" customWidth="1"/>
    <col min="5" max="5" width="28" customWidth="1"/>
    <col min="6" max="6" width="3" customWidth="1"/>
  </cols>
  <sheetData>
    <row r="1" spans="1:6" ht="16.05" customHeight="1" x14ac:dyDescent="0.3">
      <c r="A1" s="1"/>
      <c r="B1" s="1"/>
      <c r="C1" s="1"/>
      <c r="D1" s="1"/>
      <c r="E1" s="1"/>
      <c r="F1" s="1"/>
    </row>
    <row r="2" spans="1:6" ht="36" customHeight="1" x14ac:dyDescent="0.3">
      <c r="A2" s="1"/>
      <c r="B2" s="28" t="s">
        <v>130</v>
      </c>
      <c r="C2" s="24"/>
      <c r="D2" s="24"/>
      <c r="E2" s="24"/>
      <c r="F2" s="1"/>
    </row>
    <row r="3" spans="1:6" ht="6" customHeight="1" x14ac:dyDescent="0.3">
      <c r="A3" s="1"/>
      <c r="B3" s="1"/>
      <c r="C3" s="1"/>
      <c r="D3" s="1"/>
      <c r="E3" s="1"/>
      <c r="F3" s="1"/>
    </row>
    <row r="4" spans="1:6" ht="4.05" customHeight="1" x14ac:dyDescent="0.3">
      <c r="A4" s="2"/>
      <c r="B4" s="2"/>
      <c r="C4" s="2"/>
      <c r="D4" s="2"/>
      <c r="E4" s="2"/>
      <c r="F4" s="2"/>
    </row>
    <row r="5" spans="1:6" ht="12" customHeight="1" x14ac:dyDescent="0.3"/>
    <row r="6" spans="1:6" ht="18" customHeight="1" x14ac:dyDescent="0.3">
      <c r="B6" s="23" t="s">
        <v>131</v>
      </c>
      <c r="C6" s="24"/>
      <c r="D6" s="24"/>
      <c r="E6" s="24"/>
    </row>
    <row r="7" spans="1:6" ht="18" customHeight="1" x14ac:dyDescent="0.3">
      <c r="B7" s="24"/>
      <c r="C7" s="24"/>
      <c r="D7" s="24"/>
      <c r="E7" s="24"/>
    </row>
    <row r="8" spans="1:6" ht="18" customHeight="1" x14ac:dyDescent="0.3">
      <c r="B8" s="24"/>
      <c r="C8" s="24"/>
      <c r="D8" s="24"/>
      <c r="E8" s="24"/>
    </row>
    <row r="10" spans="1:6" ht="24" customHeight="1" x14ac:dyDescent="0.3">
      <c r="A10" s="3"/>
      <c r="B10" s="3" t="s">
        <v>132</v>
      </c>
      <c r="C10" s="3" t="s">
        <v>133</v>
      </c>
      <c r="D10" s="3" t="s">
        <v>62</v>
      </c>
      <c r="E10" s="3" t="s">
        <v>6</v>
      </c>
    </row>
    <row r="11" spans="1:6" ht="19.95" customHeight="1" x14ac:dyDescent="0.3">
      <c r="A11" s="13"/>
      <c r="B11" s="14" t="s">
        <v>134</v>
      </c>
      <c r="C11" s="15" t="s">
        <v>135</v>
      </c>
      <c r="D11" s="15" t="s">
        <v>31</v>
      </c>
      <c r="E11" s="15" t="s">
        <v>136</v>
      </c>
    </row>
    <row r="12" spans="1:6" ht="19.95" customHeight="1" x14ac:dyDescent="0.3">
      <c r="A12" s="4"/>
      <c r="B12" s="5" t="s">
        <v>137</v>
      </c>
      <c r="C12" s="6" t="s">
        <v>138</v>
      </c>
      <c r="D12" s="12">
        <v>10000</v>
      </c>
      <c r="E12" s="6" t="s">
        <v>139</v>
      </c>
    </row>
    <row r="13" spans="1:6" ht="19.95" customHeight="1" x14ac:dyDescent="0.3">
      <c r="A13" s="13"/>
      <c r="B13" s="14" t="s">
        <v>140</v>
      </c>
      <c r="C13" s="15" t="s">
        <v>141</v>
      </c>
      <c r="D13" s="16">
        <v>20000</v>
      </c>
      <c r="E13" s="15" t="s">
        <v>139</v>
      </c>
    </row>
    <row r="14" spans="1:6" ht="19.95" customHeight="1" x14ac:dyDescent="0.3">
      <c r="A14" s="4"/>
      <c r="B14" s="5" t="s">
        <v>142</v>
      </c>
      <c r="C14" s="6" t="s">
        <v>143</v>
      </c>
      <c r="D14" s="12">
        <v>35000</v>
      </c>
      <c r="E14" s="6" t="s">
        <v>139</v>
      </c>
    </row>
    <row r="15" spans="1:6" ht="19.95" customHeight="1" x14ac:dyDescent="0.3">
      <c r="A15" s="13"/>
      <c r="B15" s="14" t="s">
        <v>144</v>
      </c>
      <c r="C15" s="15" t="s">
        <v>145</v>
      </c>
      <c r="D15" s="16">
        <v>50000</v>
      </c>
      <c r="E15" s="15" t="s">
        <v>139</v>
      </c>
    </row>
    <row r="16" spans="1:6" ht="10.050000000000001" customHeight="1" x14ac:dyDescent="0.3"/>
    <row r="17" spans="2:5" ht="16.05" customHeight="1" x14ac:dyDescent="0.3">
      <c r="B17" s="30" t="s">
        <v>146</v>
      </c>
      <c r="C17" s="24"/>
      <c r="D17" s="24"/>
      <c r="E17" s="24"/>
    </row>
    <row r="18" spans="2:5" ht="16.05" customHeight="1" x14ac:dyDescent="0.3">
      <c r="B18" s="24"/>
      <c r="C18" s="24"/>
      <c r="D18" s="24"/>
      <c r="E18" s="24"/>
    </row>
    <row r="19" spans="2:5" ht="16.05" customHeight="1" x14ac:dyDescent="0.3">
      <c r="B19" s="24"/>
      <c r="C19" s="24"/>
      <c r="D19" s="24"/>
      <c r="E19" s="24"/>
    </row>
    <row r="20" spans="2:5" ht="16.05" customHeight="1" x14ac:dyDescent="0.3">
      <c r="B20" s="24"/>
      <c r="C20" s="24"/>
      <c r="D20" s="24"/>
      <c r="E20" s="24"/>
    </row>
  </sheetData>
  <mergeCells count="3">
    <mergeCell ref="B2:E2"/>
    <mergeCell ref="B6:E8"/>
    <mergeCell ref="B17:E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workbookViewId="0"/>
  </sheetViews>
  <sheetFormatPr defaultRowHeight="14.4" x14ac:dyDescent="0.3"/>
  <cols>
    <col min="1" max="1" width="3" customWidth="1"/>
    <col min="2" max="2" width="30" customWidth="1"/>
    <col min="3" max="5" width="22" customWidth="1"/>
    <col min="6" max="6" width="28" customWidth="1"/>
    <col min="7" max="7" width="3" customWidth="1"/>
  </cols>
  <sheetData>
    <row r="1" spans="1:7" ht="16.05" customHeight="1" x14ac:dyDescent="0.3">
      <c r="A1" s="1"/>
      <c r="B1" s="1"/>
      <c r="C1" s="1"/>
      <c r="D1" s="1"/>
      <c r="E1" s="1"/>
      <c r="F1" s="1"/>
      <c r="G1" s="1"/>
    </row>
    <row r="2" spans="1:7" ht="36" customHeight="1" x14ac:dyDescent="0.3">
      <c r="A2" s="1"/>
      <c r="B2" s="28" t="s">
        <v>147</v>
      </c>
      <c r="C2" s="24"/>
      <c r="D2" s="24"/>
      <c r="E2" s="24"/>
      <c r="F2" s="24"/>
      <c r="G2" s="1"/>
    </row>
    <row r="3" spans="1:7" ht="6" customHeight="1" x14ac:dyDescent="0.3">
      <c r="A3" s="1"/>
      <c r="B3" s="1"/>
      <c r="C3" s="1"/>
      <c r="D3" s="1"/>
      <c r="E3" s="1"/>
      <c r="F3" s="1"/>
      <c r="G3" s="1"/>
    </row>
    <row r="4" spans="1:7" ht="4.05" customHeight="1" x14ac:dyDescent="0.3">
      <c r="A4" s="2"/>
      <c r="B4" s="2"/>
      <c r="C4" s="2"/>
      <c r="D4" s="2"/>
      <c r="E4" s="2"/>
      <c r="F4" s="2"/>
      <c r="G4" s="2"/>
    </row>
    <row r="5" spans="1:7" ht="12" customHeight="1" x14ac:dyDescent="0.3"/>
    <row r="6" spans="1:7" ht="18" customHeight="1" x14ac:dyDescent="0.3">
      <c r="B6" s="23" t="s">
        <v>148</v>
      </c>
      <c r="C6" s="24"/>
      <c r="D6" s="24"/>
      <c r="E6" s="24"/>
      <c r="F6" s="24"/>
    </row>
    <row r="7" spans="1:7" ht="18" customHeight="1" x14ac:dyDescent="0.3">
      <c r="B7" s="24"/>
      <c r="C7" s="24"/>
      <c r="D7" s="24"/>
      <c r="E7" s="24"/>
      <c r="F7" s="24"/>
    </row>
    <row r="8" spans="1:7" ht="18" customHeight="1" x14ac:dyDescent="0.3">
      <c r="B8" s="24"/>
      <c r="C8" s="24"/>
      <c r="D8" s="24"/>
      <c r="E8" s="24"/>
      <c r="F8" s="24"/>
    </row>
    <row r="10" spans="1:7" ht="24" customHeight="1" x14ac:dyDescent="0.3">
      <c r="A10" s="3"/>
      <c r="B10" s="3" t="s">
        <v>149</v>
      </c>
      <c r="C10" s="3" t="s">
        <v>150</v>
      </c>
      <c r="D10" s="3" t="s">
        <v>151</v>
      </c>
      <c r="E10" s="3" t="s">
        <v>64</v>
      </c>
      <c r="F10" s="3" t="s">
        <v>6</v>
      </c>
    </row>
    <row r="11" spans="1:7" ht="19.95" customHeight="1" x14ac:dyDescent="0.3">
      <c r="A11" s="4"/>
      <c r="B11" s="5" t="s">
        <v>152</v>
      </c>
      <c r="C11" s="12">
        <v>50</v>
      </c>
      <c r="D11" s="12">
        <v>175</v>
      </c>
      <c r="E11" s="6" t="s">
        <v>67</v>
      </c>
      <c r="F11" s="6" t="s">
        <v>153</v>
      </c>
    </row>
    <row r="13" spans="1:7" ht="22.05" customHeight="1" x14ac:dyDescent="0.3">
      <c r="B13" s="27" t="s">
        <v>154</v>
      </c>
      <c r="C13" s="24"/>
      <c r="D13" s="24"/>
      <c r="E13" s="24"/>
      <c r="F13" s="24"/>
    </row>
    <row r="14" spans="1:7" ht="24" customHeight="1" x14ac:dyDescent="0.3">
      <c r="A14" s="3"/>
      <c r="B14" s="3" t="s">
        <v>155</v>
      </c>
      <c r="C14" s="3" t="s">
        <v>156</v>
      </c>
      <c r="D14" s="3" t="s">
        <v>157</v>
      </c>
      <c r="E14" s="3" t="s">
        <v>158</v>
      </c>
      <c r="F14" s="3" t="s">
        <v>6</v>
      </c>
    </row>
    <row r="15" spans="1:7" ht="19.95" customHeight="1" x14ac:dyDescent="0.3">
      <c r="A15" s="4"/>
      <c r="B15" s="5" t="s">
        <v>159</v>
      </c>
      <c r="C15" s="12">
        <v>50</v>
      </c>
      <c r="D15" s="12">
        <v>175</v>
      </c>
      <c r="E15" s="6" t="s">
        <v>117</v>
      </c>
      <c r="F15" s="6" t="s">
        <v>118</v>
      </c>
    </row>
    <row r="16" spans="1:7" ht="19.95" customHeight="1" x14ac:dyDescent="0.3">
      <c r="A16" s="7"/>
      <c r="B16" s="8" t="s">
        <v>160</v>
      </c>
      <c r="C16" s="11">
        <v>40</v>
      </c>
      <c r="D16" s="11">
        <v>140</v>
      </c>
      <c r="E16" s="9" t="s">
        <v>120</v>
      </c>
      <c r="F16" s="9" t="s">
        <v>121</v>
      </c>
    </row>
    <row r="17" spans="1:6" ht="19.95" customHeight="1" x14ac:dyDescent="0.3">
      <c r="A17" s="4"/>
      <c r="B17" s="5" t="s">
        <v>161</v>
      </c>
      <c r="C17" s="12">
        <v>35</v>
      </c>
      <c r="D17" s="12">
        <v>123</v>
      </c>
      <c r="E17" s="6" t="s">
        <v>162</v>
      </c>
      <c r="F17" s="6" t="s">
        <v>163</v>
      </c>
    </row>
    <row r="18" spans="1:6" ht="19.95" customHeight="1" x14ac:dyDescent="0.3">
      <c r="A18" s="7"/>
      <c r="B18" s="8" t="s">
        <v>164</v>
      </c>
      <c r="C18" s="7" t="s">
        <v>126</v>
      </c>
      <c r="D18" s="7" t="s">
        <v>126</v>
      </c>
      <c r="E18" s="9" t="s">
        <v>127</v>
      </c>
      <c r="F18" s="9" t="s">
        <v>128</v>
      </c>
    </row>
    <row r="19" spans="1:6" ht="10.050000000000001" customHeight="1" x14ac:dyDescent="0.3"/>
    <row r="20" spans="1:6" ht="16.05" customHeight="1" x14ac:dyDescent="0.3">
      <c r="B20" s="30" t="s">
        <v>165</v>
      </c>
      <c r="C20" s="24"/>
      <c r="D20" s="24"/>
      <c r="E20" s="24"/>
      <c r="F20" s="24"/>
    </row>
    <row r="21" spans="1:6" ht="16.05" customHeight="1" x14ac:dyDescent="0.3">
      <c r="B21" s="24"/>
      <c r="C21" s="24"/>
      <c r="D21" s="24"/>
      <c r="E21" s="24"/>
      <c r="F21" s="24"/>
    </row>
    <row r="22" spans="1:6" ht="16.05" customHeight="1" x14ac:dyDescent="0.3">
      <c r="B22" s="24"/>
      <c r="C22" s="24"/>
      <c r="D22" s="24"/>
      <c r="E22" s="24"/>
      <c r="F22" s="24"/>
    </row>
    <row r="23" spans="1:6" ht="16.05" customHeight="1" x14ac:dyDescent="0.3">
      <c r="B23" s="24"/>
      <c r="C23" s="24"/>
      <c r="D23" s="24"/>
      <c r="E23" s="24"/>
      <c r="F23" s="24"/>
    </row>
  </sheetData>
  <mergeCells count="4">
    <mergeCell ref="B2:F2"/>
    <mergeCell ref="B6:F8"/>
    <mergeCell ref="B20:F23"/>
    <mergeCell ref="B13:F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3"/>
  <sheetViews>
    <sheetView showGridLines="0" workbookViewId="0">
      <selection activeCell="B20" sqref="B20:F23"/>
    </sheetView>
  </sheetViews>
  <sheetFormatPr defaultRowHeight="14.4" x14ac:dyDescent="0.3"/>
  <cols>
    <col min="1" max="1" width="3" customWidth="1"/>
    <col min="2" max="2" width="32" customWidth="1"/>
    <col min="3" max="3" width="16" customWidth="1"/>
    <col min="4" max="4" width="22" customWidth="1"/>
    <col min="5" max="5" width="65.109375" customWidth="1"/>
    <col min="6" max="6" width="56.6640625" customWidth="1"/>
    <col min="7" max="7" width="3" customWidth="1"/>
  </cols>
  <sheetData>
    <row r="1" spans="1:7" ht="16.05" customHeight="1" x14ac:dyDescent="0.3">
      <c r="A1" s="1"/>
      <c r="B1" s="1"/>
      <c r="C1" s="1"/>
      <c r="D1" s="1"/>
      <c r="E1" s="1"/>
      <c r="F1" s="1"/>
      <c r="G1" s="1"/>
    </row>
    <row r="2" spans="1:7" ht="36" customHeight="1" x14ac:dyDescent="0.3">
      <c r="A2" s="1"/>
      <c r="B2" s="28" t="s">
        <v>166</v>
      </c>
      <c r="C2" s="24"/>
      <c r="D2" s="24"/>
      <c r="E2" s="24"/>
      <c r="F2" s="24"/>
      <c r="G2" s="1"/>
    </row>
    <row r="3" spans="1:7" ht="6" customHeight="1" x14ac:dyDescent="0.3">
      <c r="A3" s="1"/>
      <c r="B3" s="1"/>
      <c r="C3" s="1"/>
      <c r="D3" s="1"/>
      <c r="E3" s="1"/>
      <c r="F3" s="1"/>
      <c r="G3" s="1"/>
    </row>
    <row r="4" spans="1:7" ht="4.05" customHeight="1" x14ac:dyDescent="0.3">
      <c r="A4" s="2"/>
      <c r="B4" s="2"/>
      <c r="C4" s="2"/>
      <c r="D4" s="2"/>
      <c r="E4" s="2"/>
      <c r="F4" s="2"/>
      <c r="G4" s="2"/>
    </row>
    <row r="5" spans="1:7" ht="12" customHeight="1" x14ac:dyDescent="0.3"/>
    <row r="6" spans="1:7" x14ac:dyDescent="0.3">
      <c r="B6" s="23" t="s">
        <v>167</v>
      </c>
      <c r="C6" s="24"/>
      <c r="D6" s="24"/>
      <c r="E6" s="24"/>
      <c r="F6" s="24"/>
    </row>
    <row r="7" spans="1:7" x14ac:dyDescent="0.3">
      <c r="B7" s="24"/>
      <c r="C7" s="24"/>
      <c r="D7" s="24"/>
      <c r="E7" s="24"/>
      <c r="F7" s="24"/>
    </row>
    <row r="9" spans="1:7" x14ac:dyDescent="0.3">
      <c r="A9" s="3"/>
      <c r="B9" s="3" t="s">
        <v>168</v>
      </c>
      <c r="C9" s="3" t="s">
        <v>169</v>
      </c>
      <c r="D9" s="3" t="s">
        <v>170</v>
      </c>
      <c r="E9" s="3" t="s">
        <v>171</v>
      </c>
      <c r="F9" s="3" t="s">
        <v>6</v>
      </c>
    </row>
    <row r="10" spans="1:7" ht="26.4" x14ac:dyDescent="0.3">
      <c r="A10" s="17"/>
      <c r="B10" s="18" t="s">
        <v>172</v>
      </c>
      <c r="C10" s="6" t="s">
        <v>173</v>
      </c>
      <c r="D10" s="12">
        <v>10000</v>
      </c>
      <c r="E10" s="17" t="s">
        <v>174</v>
      </c>
      <c r="F10" s="17" t="s">
        <v>175</v>
      </c>
    </row>
    <row r="11" spans="1:7" ht="26.4" x14ac:dyDescent="0.3">
      <c r="A11" s="19"/>
      <c r="B11" s="20" t="s">
        <v>176</v>
      </c>
      <c r="C11" s="9" t="s">
        <v>177</v>
      </c>
      <c r="D11" s="11">
        <v>2250</v>
      </c>
      <c r="E11" s="19" t="s">
        <v>178</v>
      </c>
      <c r="F11" s="19" t="s">
        <v>179</v>
      </c>
    </row>
    <row r="12" spans="1:7" ht="26.4" x14ac:dyDescent="0.3">
      <c r="A12" s="17"/>
      <c r="B12" s="18" t="s">
        <v>55</v>
      </c>
      <c r="C12" s="6" t="s">
        <v>180</v>
      </c>
      <c r="D12" s="12">
        <v>15000</v>
      </c>
      <c r="E12" s="17" t="s">
        <v>181</v>
      </c>
      <c r="F12" s="17" t="s">
        <v>182</v>
      </c>
    </row>
    <row r="14" spans="1:7" x14ac:dyDescent="0.3">
      <c r="B14" s="27" t="s">
        <v>183</v>
      </c>
      <c r="C14" s="24"/>
      <c r="D14" s="24"/>
      <c r="E14" s="24"/>
      <c r="F14" s="24"/>
    </row>
    <row r="15" spans="1:7" x14ac:dyDescent="0.3">
      <c r="A15" s="3"/>
      <c r="B15" s="3" t="s">
        <v>184</v>
      </c>
      <c r="C15" s="3" t="s">
        <v>185</v>
      </c>
      <c r="D15" s="3" t="s">
        <v>170</v>
      </c>
      <c r="E15" s="3" t="s">
        <v>186</v>
      </c>
      <c r="F15" s="3" t="s">
        <v>6</v>
      </c>
    </row>
    <row r="16" spans="1:7" x14ac:dyDescent="0.3">
      <c r="A16" s="4"/>
      <c r="B16" s="5" t="s">
        <v>187</v>
      </c>
      <c r="C16" s="4" t="s">
        <v>188</v>
      </c>
      <c r="D16" s="12">
        <v>1500</v>
      </c>
      <c r="E16" s="4" t="s">
        <v>189</v>
      </c>
      <c r="F16" s="4"/>
    </row>
    <row r="17" spans="1:6" x14ac:dyDescent="0.3">
      <c r="A17" s="7"/>
      <c r="B17" s="8" t="s">
        <v>190</v>
      </c>
      <c r="C17" s="7" t="s">
        <v>188</v>
      </c>
      <c r="D17" s="11">
        <v>750</v>
      </c>
      <c r="E17" s="7" t="s">
        <v>191</v>
      </c>
      <c r="F17" s="7" t="s">
        <v>192</v>
      </c>
    </row>
    <row r="18" spans="1:6" x14ac:dyDescent="0.3">
      <c r="A18" s="4"/>
      <c r="B18" s="5" t="s">
        <v>193</v>
      </c>
      <c r="C18" s="4" t="s">
        <v>194</v>
      </c>
      <c r="D18" s="4" t="s">
        <v>195</v>
      </c>
      <c r="E18" s="4" t="s">
        <v>196</v>
      </c>
      <c r="F18" s="4" t="s">
        <v>197</v>
      </c>
    </row>
    <row r="20" spans="1:6" x14ac:dyDescent="0.3">
      <c r="B20" s="31" t="s">
        <v>198</v>
      </c>
      <c r="C20" s="24"/>
      <c r="D20" s="24"/>
      <c r="E20" s="24"/>
      <c r="F20" s="24"/>
    </row>
    <row r="21" spans="1:6" x14ac:dyDescent="0.3">
      <c r="B21" s="24"/>
      <c r="C21" s="24"/>
      <c r="D21" s="24"/>
      <c r="E21" s="24"/>
      <c r="F21" s="24"/>
    </row>
    <row r="22" spans="1:6" x14ac:dyDescent="0.3">
      <c r="B22" s="24"/>
      <c r="C22" s="24"/>
      <c r="D22" s="24"/>
      <c r="E22" s="24"/>
      <c r="F22" s="24"/>
    </row>
    <row r="23" spans="1:6" x14ac:dyDescent="0.3">
      <c r="B23" s="24"/>
      <c r="C23" s="24"/>
      <c r="D23" s="24"/>
      <c r="E23" s="24"/>
      <c r="F23" s="24"/>
    </row>
  </sheetData>
  <mergeCells count="4">
    <mergeCell ref="B2:F2"/>
    <mergeCell ref="B14:F14"/>
    <mergeCell ref="B20:F23"/>
    <mergeCell ref="B6:F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showGridLines="0" workbookViewId="0">
      <selection activeCell="B37" sqref="B37"/>
    </sheetView>
  </sheetViews>
  <sheetFormatPr defaultRowHeight="14.4" x14ac:dyDescent="0.3"/>
  <cols>
    <col min="1" max="1" width="3" customWidth="1"/>
    <col min="2" max="2" width="30" customWidth="1"/>
    <col min="3" max="8" width="18" customWidth="1"/>
    <col min="9" max="9" width="3" customWidth="1"/>
  </cols>
  <sheetData>
    <row r="1" spans="1:10" ht="16.05" customHeight="1" x14ac:dyDescent="0.3">
      <c r="A1" s="1"/>
      <c r="B1" s="1"/>
      <c r="C1" s="1"/>
      <c r="D1" s="1"/>
      <c r="E1" s="1"/>
      <c r="F1" s="1"/>
      <c r="G1" s="1"/>
      <c r="H1" s="1"/>
      <c r="I1" s="1"/>
    </row>
    <row r="2" spans="1:10" ht="36" customHeight="1" x14ac:dyDescent="0.3">
      <c r="A2" s="1"/>
      <c r="B2" s="28" t="s">
        <v>199</v>
      </c>
      <c r="C2" s="24"/>
      <c r="D2" s="24"/>
      <c r="E2" s="24"/>
      <c r="F2" s="24"/>
      <c r="G2" s="24"/>
      <c r="H2" s="24"/>
      <c r="I2" s="1"/>
    </row>
    <row r="3" spans="1:10" ht="6" customHeight="1" x14ac:dyDescent="0.3">
      <c r="A3" s="1"/>
      <c r="B3" s="1"/>
      <c r="C3" s="1"/>
      <c r="D3" s="1"/>
      <c r="E3" s="1"/>
      <c r="F3" s="1"/>
      <c r="G3" s="1"/>
      <c r="H3" s="1"/>
      <c r="I3" s="1"/>
    </row>
    <row r="4" spans="1:10" ht="4.05" customHeigh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10" ht="12" customHeight="1" x14ac:dyDescent="0.3"/>
    <row r="7" spans="1:10" ht="22.05" customHeight="1" x14ac:dyDescent="0.3">
      <c r="B7" s="29" t="s">
        <v>200</v>
      </c>
      <c r="C7" s="24"/>
      <c r="D7" s="24"/>
      <c r="E7" s="24"/>
      <c r="F7" s="24"/>
      <c r="G7" s="24"/>
      <c r="H7" s="24"/>
    </row>
    <row r="8" spans="1:10" ht="24" customHeight="1" x14ac:dyDescent="0.3">
      <c r="A8" s="3"/>
      <c r="B8" s="3" t="s">
        <v>3</v>
      </c>
      <c r="C8" s="3" t="s">
        <v>4</v>
      </c>
      <c r="D8" s="3" t="s">
        <v>201</v>
      </c>
      <c r="E8" s="3" t="s">
        <v>202</v>
      </c>
      <c r="F8" s="3" t="s">
        <v>203</v>
      </c>
      <c r="G8" s="3" t="s">
        <v>204</v>
      </c>
      <c r="H8" s="3" t="s">
        <v>205</v>
      </c>
    </row>
    <row r="9" spans="1:10" ht="19.95" customHeight="1" x14ac:dyDescent="0.3">
      <c r="A9" s="4"/>
      <c r="B9" s="5" t="s">
        <v>7</v>
      </c>
      <c r="C9" s="12">
        <v>10000</v>
      </c>
      <c r="D9" s="12">
        <v>40000</v>
      </c>
      <c r="E9" s="12">
        <f>D9*0.2</f>
        <v>8000</v>
      </c>
      <c r="F9" s="12">
        <f>C9*5</f>
        <v>50000</v>
      </c>
      <c r="G9" s="12">
        <f>D9+(E9*4)</f>
        <v>72000</v>
      </c>
      <c r="H9" s="21">
        <f>G9-F9</f>
        <v>22000</v>
      </c>
      <c r="J9" s="22"/>
    </row>
    <row r="10" spans="1:10" ht="19.95" customHeight="1" x14ac:dyDescent="0.3">
      <c r="A10" s="7"/>
      <c r="B10" s="8" t="s">
        <v>206</v>
      </c>
      <c r="C10" s="11">
        <v>100</v>
      </c>
      <c r="D10" s="11">
        <v>350</v>
      </c>
      <c r="E10" s="11">
        <v>70</v>
      </c>
      <c r="F10" s="12">
        <f t="shared" ref="F10:F15" si="0">C10*5</f>
        <v>500</v>
      </c>
      <c r="G10" s="12">
        <f t="shared" ref="G10:G15" si="1">D10+(E10*4)</f>
        <v>630</v>
      </c>
      <c r="H10" s="21">
        <f>G10-F10</f>
        <v>130</v>
      </c>
    </row>
    <row r="11" spans="1:10" ht="19.95" customHeight="1" x14ac:dyDescent="0.3">
      <c r="A11" s="4"/>
      <c r="B11" s="5" t="s">
        <v>207</v>
      </c>
      <c r="C11" s="12">
        <v>625</v>
      </c>
      <c r="D11" s="12">
        <v>2188</v>
      </c>
      <c r="E11" s="12">
        <v>438</v>
      </c>
      <c r="F11" s="12">
        <f t="shared" si="0"/>
        <v>3125</v>
      </c>
      <c r="G11" s="12">
        <f t="shared" si="1"/>
        <v>3940</v>
      </c>
      <c r="H11" s="21">
        <f t="shared" ref="H11:H15" si="2">G11-F11</f>
        <v>815</v>
      </c>
    </row>
    <row r="12" spans="1:10" ht="19.95" customHeight="1" x14ac:dyDescent="0.3">
      <c r="A12" s="7"/>
      <c r="B12" s="8" t="s">
        <v>208</v>
      </c>
      <c r="C12" s="11">
        <v>556</v>
      </c>
      <c r="D12" s="11">
        <v>1946</v>
      </c>
      <c r="E12" s="11">
        <v>389</v>
      </c>
      <c r="F12" s="12">
        <f t="shared" si="0"/>
        <v>2780</v>
      </c>
      <c r="G12" s="12">
        <f t="shared" si="1"/>
        <v>3502</v>
      </c>
      <c r="H12" s="21">
        <f t="shared" si="2"/>
        <v>722</v>
      </c>
    </row>
    <row r="13" spans="1:10" ht="19.95" customHeight="1" x14ac:dyDescent="0.3">
      <c r="A13" s="4"/>
      <c r="B13" s="5" t="s">
        <v>209</v>
      </c>
      <c r="C13" s="12">
        <v>500</v>
      </c>
      <c r="D13" s="12">
        <v>1750</v>
      </c>
      <c r="E13" s="12">
        <v>350</v>
      </c>
      <c r="F13" s="12">
        <f t="shared" si="0"/>
        <v>2500</v>
      </c>
      <c r="G13" s="12">
        <f t="shared" si="1"/>
        <v>3150</v>
      </c>
      <c r="H13" s="21">
        <f t="shared" si="2"/>
        <v>650</v>
      </c>
    </row>
    <row r="14" spans="1:10" ht="19.95" customHeight="1" x14ac:dyDescent="0.3">
      <c r="A14" s="7"/>
      <c r="B14" s="8" t="s">
        <v>22</v>
      </c>
      <c r="C14" s="11">
        <v>100</v>
      </c>
      <c r="D14" s="11">
        <v>350</v>
      </c>
      <c r="E14" s="11">
        <v>70</v>
      </c>
      <c r="F14" s="12">
        <f t="shared" si="0"/>
        <v>500</v>
      </c>
      <c r="G14" s="12">
        <f t="shared" si="1"/>
        <v>630</v>
      </c>
      <c r="H14" s="21">
        <f t="shared" si="2"/>
        <v>130</v>
      </c>
    </row>
    <row r="15" spans="1:10" ht="19.95" customHeight="1" x14ac:dyDescent="0.3">
      <c r="A15" s="4"/>
      <c r="B15" s="5" t="s">
        <v>26</v>
      </c>
      <c r="C15" s="12">
        <v>5</v>
      </c>
      <c r="D15" s="12">
        <v>18</v>
      </c>
      <c r="E15" s="12">
        <v>4</v>
      </c>
      <c r="F15" s="12">
        <f t="shared" si="0"/>
        <v>25</v>
      </c>
      <c r="G15" s="12">
        <f t="shared" si="1"/>
        <v>34</v>
      </c>
      <c r="H15" s="21">
        <f t="shared" si="2"/>
        <v>9</v>
      </c>
    </row>
    <row r="16" spans="1:10" ht="10.050000000000001" customHeight="1" x14ac:dyDescent="0.3"/>
  </sheetData>
  <mergeCells count="2">
    <mergeCell ref="B7:H7"/>
    <mergeCell ref="B2:H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F54CE9A821F4374CBAF85A638F90CEA6" ma:contentTypeVersion="12" ma:contentTypeDescription="צור מסמך חדש." ma:contentTypeScope="" ma:versionID="fa877a206c0721e645f0ab9cf6c28f00">
  <xsd:schema xmlns:xsd="http://www.w3.org/2001/XMLSchema" xmlns:xs="http://www.w3.org/2001/XMLSchema" xmlns:p="http://schemas.microsoft.com/office/2006/metadata/properties" xmlns:ns2="8f6a2f2c-8e24-4212-8b0b-8763c94ce0da" xmlns:ns3="c40eea41-ef2d-4411-8c1d-d05d66b53966" targetNamespace="http://schemas.microsoft.com/office/2006/metadata/properties" ma:root="true" ma:fieldsID="f5c55100fe6394b9545c26ea5f2a1e76" ns2:_="" ns3:_="">
    <xsd:import namespace="8f6a2f2c-8e24-4212-8b0b-8763c94ce0da"/>
    <xsd:import namespace="c40eea41-ef2d-4411-8c1d-d05d66b53966"/>
    <xsd:element name="properties">
      <xsd:complexType>
        <xsd:sequence>
          <xsd:element name="documentManagement">
            <xsd:complexType>
              <xsd:all>
                <xsd:element ref="ns2:MediaServiceBillingMetadata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6a2f2c-8e24-4212-8b0b-8763c94ce0da" elementFormDefault="qualified">
    <xsd:import namespace="http://schemas.microsoft.com/office/2006/documentManagement/types"/>
    <xsd:import namespace="http://schemas.microsoft.com/office/infopath/2007/PartnerControls"/>
    <xsd:element name="MediaServiceBillingMetadata" ma:index="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03bfc367-8610-44d7-a8ec-c8db8bee505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0eea41-ef2d-4411-8c1d-d05d66b5396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34ee285-ef54-4f1b-91f4-c79c23f20032}" ma:internalName="TaxCatchAll" ma:showField="CatchAllData" ma:web="c40eea41-ef2d-4411-8c1d-d05d66b539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6a2f2c-8e24-4212-8b0b-8763c94ce0da">
      <Terms xmlns="http://schemas.microsoft.com/office/infopath/2007/PartnerControls"/>
    </lcf76f155ced4ddcb4097134ff3c332f>
    <TaxCatchAll xmlns="c40eea41-ef2d-4411-8c1d-d05d66b53966" xsi:nil="true"/>
  </documentManagement>
</p:properties>
</file>

<file path=customXml/itemProps1.xml><?xml version="1.0" encoding="utf-8"?>
<ds:datastoreItem xmlns:ds="http://schemas.openxmlformats.org/officeDocument/2006/customXml" ds:itemID="{5A5A22BC-0481-4930-B06B-F4FD13EF399E}"/>
</file>

<file path=customXml/itemProps2.xml><?xml version="1.0" encoding="utf-8"?>
<ds:datastoreItem xmlns:ds="http://schemas.openxmlformats.org/officeDocument/2006/customXml" ds:itemID="{A5C6FDD9-9AD9-4F61-BE09-D4DEDB9DA0A5}"/>
</file>

<file path=customXml/itemProps3.xml><?xml version="1.0" encoding="utf-8"?>
<ds:datastoreItem xmlns:ds="http://schemas.openxmlformats.org/officeDocument/2006/customXml" ds:itemID="{E6CDA768-06FA-4933-9C5E-3C69F6C2DC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License Price List</vt:lpstr>
      <vt:lpstr>IoT Sensors</vt:lpstr>
      <vt:lpstr>K-Share Mobile App</vt:lpstr>
      <vt:lpstr>K-React Responder App</vt:lpstr>
      <vt:lpstr>Professional Services</vt:lpstr>
      <vt:lpstr>5-Year Cost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Shay Malka</cp:lastModifiedBy>
  <dcterms:created xsi:type="dcterms:W3CDTF">2026-04-03T16:49:01Z</dcterms:created>
  <dcterms:modified xsi:type="dcterms:W3CDTF">2026-04-03T17:03:31Z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0x010100F54CE9A821F4374CBAF85A638F90CEA6</vt:lpwstr>
  </property>
</Properties>
</file>