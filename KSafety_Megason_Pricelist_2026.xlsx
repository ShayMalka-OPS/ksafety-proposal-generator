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ksafety-proposal-generator\"/>
    </mc:Choice>
  </mc:AlternateContent>
  <xr:revisionPtr revIDLastSave="0" documentId="13_ncr:1_{5BFFEE89-9D3E-4711-B422-17C6225A501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מחירון מוצרים" sheetId="1" r:id="rId1"/>
    <sheet name="מחשבון פרויקט" sheetId="2" r:id="rId2"/>
    <sheet name="תשתיות HW" sheetId="3" r:id="rId3"/>
    <sheet name="אינטגרציות נתמכות" sheetId="4" r:id="rId4"/>
    <sheet name="תנאים ומדיניות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F16" i="2" s="1"/>
  <c r="E15" i="2"/>
  <c r="F15" i="2" s="1"/>
  <c r="E14" i="2"/>
  <c r="F14" i="2" s="1"/>
  <c r="E13" i="2"/>
  <c r="F13" i="2" s="1"/>
  <c r="E12" i="2"/>
  <c r="F12" i="2" s="1"/>
  <c r="F11" i="2"/>
  <c r="E11" i="2"/>
  <c r="E10" i="2"/>
  <c r="F10" i="2" s="1"/>
  <c r="E9" i="2"/>
  <c r="F9" i="2" s="1"/>
  <c r="E8" i="2"/>
  <c r="F8" i="2" s="1"/>
  <c r="E4" i="2"/>
  <c r="F20" i="2" l="1"/>
  <c r="E27" i="2" s="1"/>
  <c r="E20" i="2"/>
  <c r="E23" i="2" s="1"/>
  <c r="E25" i="2" l="1"/>
  <c r="E24" i="2"/>
  <c r="E26" i="2"/>
  <c r="E28" i="2"/>
</calcChain>
</file>

<file path=xl/sharedStrings.xml><?xml version="1.0" encoding="utf-8"?>
<sst xmlns="http://schemas.openxmlformats.org/spreadsheetml/2006/main" count="257" uniqueCount="179">
  <si>
    <t>KABATONE – K-Safety</t>
  </si>
  <si>
    <t>מחירון רשמי לאינטגרטורים | מגאסון | אפריל 2026</t>
  </si>
  <si>
    <t>מחירים בדולר ארה"ב ($) | תמחור מודל: רישיון חד-פעמי (Perpetual) + תחזוקה שנתית החל משנה 2</t>
  </si>
  <si>
    <t>קטגוריה</t>
  </si>
  <si>
    <t>מוצר / רכיב</t>
  </si>
  <si>
    <t>יחידה</t>
  </si>
  <si>
    <t>מחיר Perpetual ($)</t>
  </si>
  <si>
    <t>תחזוקה שנתית
(מש' 2, % Perpetual)</t>
  </si>
  <si>
    <t>הערות</t>
  </si>
  <si>
    <t>פלטפורמה בסיסית</t>
  </si>
  <si>
    <t>K-Safety Core Platform</t>
  </si>
  <si>
    <t>מערכת</t>
  </si>
  <si>
    <t>20%</t>
  </si>
  <si>
    <t>כולל: ניהול אירועים, BPM/RBE, משמרות, BI, מפות GIS, חיישנים</t>
  </si>
  <si>
    <t>מצלמות אבטחה</t>
  </si>
  <si>
    <t>CCTV Video Channels</t>
  </si>
  <si>
    <t>ערוץ/מצלמה</t>
  </si>
  <si>
    <t>אינטגרציה למערכות VMS קיימות</t>
  </si>
  <si>
    <t>זיהוי לוחיות</t>
  </si>
  <si>
    <t>LPR – License Plate Recognition</t>
  </si>
  <si>
    <t>זיהוי פנים</t>
  </si>
  <si>
    <t>Face Recognition</t>
  </si>
  <si>
    <t>אנליטיקת וידאו</t>
  </si>
  <si>
    <t>Video Analytics (AI)</t>
  </si>
  <si>
    <t>משתמשים</t>
  </si>
  <si>
    <t>User Licenses</t>
  </si>
  <si>
    <t>משתמש</t>
  </si>
  <si>
    <t>ממשק ניהול + שליטה</t>
  </si>
  <si>
    <t>חיישנים / IoT</t>
  </si>
  <si>
    <t>IoT Sensors</t>
  </si>
  <si>
    <t>חיישן</t>
  </si>
  <si>
    <t>חיישני סביבה, כפתורי מצוקה, גלאים</t>
  </si>
  <si>
    <t>K-Share – אפליקציית אזרח</t>
  </si>
  <si>
    <t>K-Share Entry (עד 50K תושבים)</t>
  </si>
  <si>
    <t>-</t>
  </si>
  <si>
    <t>כלול במחיר הפלטפורמה</t>
  </si>
  <si>
    <t>K-Share Small (50K–100K)</t>
  </si>
  <si>
    <t>מערכת/שנה</t>
  </si>
  <si>
    <t>דיווח אזרחים מהמובייל</t>
  </si>
  <si>
    <t>K-Share Medium (100K–500K)</t>
  </si>
  <si>
    <t>K-Share Large (500K–1M)</t>
  </si>
  <si>
    <t>K-Share Mega (1M+)</t>
  </si>
  <si>
    <t>K-React – אפליקציית כוחות</t>
  </si>
  <si>
    <t>K-React First Responder App</t>
  </si>
  <si>
    <t>יחידה/קצה</t>
  </si>
  <si>
    <t>ניהול כוחות מבצעיים בשטח</t>
  </si>
  <si>
    <t>שירותים מקצועיים</t>
  </si>
  <si>
    <t>התקנה והגדרה (2 שבועות)</t>
  </si>
  <si>
    <t>פרויקט</t>
  </si>
  <si>
    <t>One-time, ללא תחזוקה</t>
  </si>
  <si>
    <t>הדרכה ויישום (שבוע)</t>
  </si>
  <si>
    <t>יישום מלא (חודש)</t>
  </si>
  <si>
    <t>📌 כללי תמחור חשובים</t>
  </si>
  <si>
    <t>✔  מחיר Perpetual = מחיר שנתי × 3.5</t>
  </si>
  <si>
    <t>✔  תחזוקה שנתית החל מש' 2 = 20% ממחיר ה-Perpetual</t>
  </si>
  <si>
    <t>✔  תשלום חד-פעמי (Perpetual) + תחזוקה זול יותר בטווח ארוך עבור מתקנים אסטרטגיים</t>
  </si>
  <si>
    <t>✔  שרתים ותשתיות HW אינם כלולים במחיר הרישיון – ראה גיליון 'תשתיות HW'</t>
  </si>
  <si>
    <t>✔  ניתן לשלב עם: LENEL (בקרת כניסה), פימה/ריסקו (אזעקות), מצלמות כל יצרן</t>
  </si>
  <si>
    <t>Kabatone Ltd. | www.kabatone.com | info@kabatone.com | K-Safety Smart City Platform</t>
  </si>
  <si>
    <t>מחשבון תמחור פרויקט – K-Safety | מגאסון</t>
  </si>
  <si>
    <t>הזן כמויות בעמודה 'כמות' – כל החישובים יתבצעו אוטומטית</t>
  </si>
  <si>
    <t>שם לקוח / פרויקט:</t>
  </si>
  <si>
    <t>תאריך:</t>
  </si>
  <si>
    <t>סוג מתקן:</t>
  </si>
  <si>
    <r>
      <rPr>
        <sz val="11"/>
        <color theme="1"/>
        <rFont val="DejaVu Sans"/>
        <family val="2"/>
      </rPr>
      <t xml:space="preserve">מתקן אסטרטגי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DejaVu Sans"/>
        <family val="2"/>
      </rPr>
      <t xml:space="preserve">נמל תעופה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גז ונפט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>בטחוני</t>
    </r>
    <r>
      <rPr>
        <sz val="11"/>
        <color theme="1"/>
        <rFont val="Calibri"/>
        <family val="2"/>
        <charset val="1"/>
      </rPr>
      <t>)</t>
    </r>
  </si>
  <si>
    <t>רכיב</t>
  </si>
  <si>
    <t>כמות</t>
  </si>
  <si>
    <t>מחיר Perpetual ליחידה ($)</t>
  </si>
  <si>
    <t>סה"כ Perpetual ($)</t>
  </si>
  <si>
    <t>תחזוקה שנתית (מש' 2) ($)</t>
  </si>
  <si>
    <t>ערוצים</t>
  </si>
  <si>
    <t>חיישנים</t>
  </si>
  <si>
    <t>K-Share Mobile App</t>
  </si>
  <si>
    <t>יחידות</t>
  </si>
  <si>
    <t>🔷 סה"כ פרויקט</t>
  </si>
  <si>
    <t>ניתוח עלות 5 שנים</t>
  </si>
  <si>
    <t>עלות Perpetual + התקנה (שנה 1)</t>
  </si>
  <si>
    <t>תחזוקה שנה 2</t>
  </si>
  <si>
    <t>תחזוקה שנה 3</t>
  </si>
  <si>
    <t>תחזוקה שנה 4</t>
  </si>
  <si>
    <t>תחזוקה שנה 5</t>
  </si>
  <si>
    <t>✅ סה"כ עלות ל-5 שנים</t>
  </si>
  <si>
    <t>דרישות תשתית HW – K-Safety</t>
  </si>
  <si>
    <t>הטבלה הבאה מציגה את דרישות השרתים לפי גודל הפרויקט</t>
  </si>
  <si>
    <t>רכיב / שרת</t>
  </si>
  <si>
    <t>כמות בסיסית</t>
  </si>
  <si>
    <t>כלל להוספה</t>
  </si>
  <si>
    <t>ה.ע. / מפרט מינימלי</t>
  </si>
  <si>
    <t>Application Servers</t>
  </si>
  <si>
    <t>3</t>
  </si>
  <si>
    <t>הוסף 1 לכל 300 ערוצי LPR
הוסף 1 לכל 100 ערוצי FR
הוסף 1 אם HA מופעל</t>
  </si>
  <si>
    <t>Windows Server 2022
16 Core / 64GB RAM / 1TB SSD</t>
  </si>
  <si>
    <t>Active Directory Server</t>
  </si>
  <si>
    <t>1</t>
  </si>
  <si>
    <t>קבוע</t>
  </si>
  <si>
    <t>Windows Server 2022</t>
  </si>
  <si>
    <t>ניהול משתמשים וזהויות</t>
  </si>
  <si>
    <t>Maintenance Server</t>
  </si>
  <si>
    <t>ניטור ותחזוקה</t>
  </si>
  <si>
    <t>SQL Server (DB)</t>
  </si>
  <si>
    <t>SQL Server 2022 Std/Ent</t>
  </si>
  <si>
    <t>מסד הנתונים הראשי</t>
  </si>
  <si>
    <t>Elasticsearch</t>
  </si>
  <si>
    <t>Ubuntu 22.04 LTS</t>
  </si>
  <si>
    <t>חיפוש מטא-דאטה</t>
  </si>
  <si>
    <t>Web Frontend Server (NGINX+MongoDB+BFF)</t>
  </si>
  <si>
    <t>ממשק ווב</t>
  </si>
  <si>
    <t>DMZ Server</t>
  </si>
  <si>
    <t>1 (אם נדרש)</t>
  </si>
  <si>
    <t>נדרש אם K-Share או K-React כלולים</t>
  </si>
  <si>
    <t>גישה מהאינטרנט בצורה מאובטחת</t>
  </si>
  <si>
    <t>* מצב High Availability (HA) – מומלץ מאוד למתקנים קריטיים: נמלי תעופה, מתחמי גז ונפט – מוסיף שרת application נוסף</t>
  </si>
  <si>
    <t>אינטגרציות נתמכות – K-Safety</t>
  </si>
  <si>
    <t>K-Safety מתחבר לכל המערכות בשדה בצורה חלקה – Open Architecture</t>
  </si>
  <si>
    <t>מערכת / פרוטוקול</t>
  </si>
  <si>
    <t>אופן אינטגרציה</t>
  </si>
  <si>
    <t>מצלמות אבטחה (VMS)</t>
  </si>
  <si>
    <t>API / ONVIF / SDK</t>
  </si>
  <si>
    <t>זיהוי לוחיות (LPR)</t>
  </si>
  <si>
    <t>API ישיר / ONVIF</t>
  </si>
  <si>
    <t>זיהוי פנים (FR)</t>
  </si>
  <si>
    <t>SDK / REST API</t>
  </si>
  <si>
    <t>בקרת כניסה</t>
  </si>
  <si>
    <t>REST API / SDK</t>
  </si>
  <si>
    <t>מערכות אזעקה</t>
  </si>
  <si>
    <t>IP / TCP / API</t>
  </si>
  <si>
    <t>כפתורי מצוקה / IoT</t>
  </si>
  <si>
    <t>BACnet, Modbus, MQTT, REST</t>
  </si>
  <si>
    <t>פרוטוקולים פתוחים</t>
  </si>
  <si>
    <t>Integration</t>
  </si>
  <si>
    <t>מיפוי GIS</t>
  </si>
  <si>
    <t>ArcGIS, Google Maps, OpenStreetMap</t>
  </si>
  <si>
    <t>REST API</t>
  </si>
  <si>
    <t>אוגר נתונים</t>
  </si>
  <si>
    <t>מובנה</t>
  </si>
  <si>
    <t>אחסון וחיפוש</t>
  </si>
  <si>
    <t>SIEM / SOC</t>
  </si>
  <si>
    <t>Splunk, IBM QRadar, Microsoft Sentinel</t>
  </si>
  <si>
    <t>Syslog / REST API</t>
  </si>
  <si>
    <t>מאגרי נתונים ביטחוניים</t>
  </si>
  <si>
    <t>Police DB, Interpol (בהתאם לאישורים)</t>
  </si>
  <si>
    <t>API מאובטח</t>
  </si>
  <si>
    <t>בהתאם לרגולציה</t>
  </si>
  <si>
    <t>תנאים מסחריים ומדיניות – מגאסון × Kabatone</t>
  </si>
  <si>
    <t>מודל תמחור</t>
  </si>
  <si>
    <t>רישיון חד-פעמי (Perpetual License) + תחזוקה שנתית החל מש' 2</t>
  </si>
  <si>
    <t>תחזוקה</t>
  </si>
  <si>
    <t>20% ממחיר הרישיון Perpetual – כולל עדכוני גרסה, תמיכה ותחזוקה</t>
  </si>
  <si>
    <t>מטבע</t>
  </si>
  <si>
    <t>דולר ארה"ב (USD)</t>
  </si>
  <si>
    <t>תנאי תשלום</t>
  </si>
  <si>
    <t>50% עם חתימה, 50% בסיום התקנה – ניתן לדון בתנאים לפרויקטים גדולים</t>
  </si>
  <si>
    <t>תוקף מחירון</t>
  </si>
  <si>
    <t>מחירים בתוקף ל-90 יום ממועד הצעת המחיר</t>
  </si>
  <si>
    <t>מחירי דלר עבור אינטגרטור</t>
  </si>
  <si>
    <t>מחירים בגיליון זה הם מחירי End-User – נדון בהנחות אינטגרטור בנפרד</t>
  </si>
  <si>
    <t>HW &amp; תשתיות</t>
  </si>
  <si>
    <t>אינן כלולות במחיר הרישיון ומסופקות על ידי האינטגרטור / הלקוח</t>
  </si>
  <si>
    <t>SLA תמיכה</t>
  </si>
  <si>
    <t>8×5 – שעות עבודה | ניתן לשדרג ל-24×7 בתוספת תשלום</t>
  </si>
  <si>
    <t>כשירות רגולטורי</t>
  </si>
  <si>
    <t>K-Safety עומד בדרישות: ISO 27001, GDPR, NDAA Compliant cameras</t>
  </si>
  <si>
    <t>גרסאות</t>
  </si>
  <si>
    <t>עדכוני גרסה ראשיים וגרסאות משנה – כלולים בתחזוקה</t>
  </si>
  <si>
    <t>Cloud vs On-Prem</t>
  </si>
  <si>
    <t>תמיכה בשני מודלים – On-Prem מומלץ למתקנים אסטרטגיים</t>
  </si>
  <si>
    <t xml:space="preserve">רשיוי עבור התחברות למערכת </t>
  </si>
  <si>
    <t xml:space="preserve">IoT Sensors /PB, Fire Alarm, Access Control </t>
  </si>
  <si>
    <t>VXG, Milestone</t>
  </si>
  <si>
    <t>nerosoft , Milestone</t>
  </si>
  <si>
    <t>Corsight</t>
  </si>
  <si>
    <t>LENEL,</t>
  </si>
  <si>
    <t>נתמך חלקית , דורש פיתוח</t>
  </si>
  <si>
    <t xml:space="preserve">פימה (PIMA), ריסקו (RISCO), DSC, </t>
  </si>
  <si>
    <t>AVL</t>
  </si>
  <si>
    <t xml:space="preserve">Motorola, Hytera </t>
  </si>
  <si>
    <t>מעקב רכבי ביטחון על גבי המפה</t>
  </si>
  <si>
    <t>מפות אינטראקטיביות - על בסיס ESRI</t>
  </si>
  <si>
    <t>Elasticsearch, SQL, Object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</si>
</sst>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&quot;($&quot;#,##0\);\-"/>
  </numFmts>
  <fonts count="20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i/>
      <sz val="11"/>
      <color rgb="FF1A3A5C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8B"/>
      <name val="Arial"/>
      <charset val="1"/>
    </font>
    <font>
      <b/>
      <sz val="11"/>
      <color rgb="FF00008B"/>
      <name val="Arial"/>
      <charset val="1"/>
    </font>
    <font>
      <b/>
      <sz val="12"/>
      <color rgb="FF1A3A5C"/>
      <name val="Arial"/>
      <charset val="1"/>
    </font>
    <font>
      <sz val="11"/>
      <color rgb="FF333333"/>
      <name val="Arial"/>
      <charset val="1"/>
    </font>
    <font>
      <i/>
      <sz val="9"/>
      <color rgb="FFFFFFFF"/>
      <name val="Arial"/>
      <charset val="1"/>
    </font>
    <font>
      <b/>
      <sz val="18"/>
      <color rgb="FFFFFFFF"/>
      <name val="Arial"/>
      <charset val="1"/>
    </font>
    <font>
      <b/>
      <sz val="11"/>
      <color rgb="FF000000"/>
      <name val="Arial"/>
      <charset val="1"/>
    </font>
    <font>
      <sz val="11"/>
      <color theme="1"/>
      <name val="DejaVu Sans"/>
      <family val="2"/>
    </font>
    <font>
      <b/>
      <sz val="12"/>
      <color rgb="FF0000FF"/>
      <name val="Arial"/>
      <charset val="1"/>
    </font>
    <font>
      <sz val="11"/>
      <color rgb="FF217346"/>
      <name val="Arial"/>
      <charset val="1"/>
    </font>
    <font>
      <i/>
      <sz val="11"/>
      <color rgb="FF888888"/>
      <name val="Arial"/>
      <charset val="1"/>
    </font>
    <font>
      <b/>
      <sz val="16"/>
      <color rgb="FFFFFFFF"/>
      <name val="Arial"/>
      <charset val="1"/>
    </font>
    <font>
      <i/>
      <sz val="11"/>
      <color rgb="FF333333"/>
      <name val="Arial"/>
      <charset val="1"/>
    </font>
    <font>
      <b/>
      <sz val="11"/>
      <color rgb="FF1A3A5C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1E6BA8"/>
        <bgColor rgb="FF008080"/>
      </patternFill>
    </fill>
    <fill>
      <patternFill patternType="solid">
        <fgColor rgb="FFD6E8F7"/>
        <bgColor rgb="FFEBF4FF"/>
      </patternFill>
    </fill>
    <fill>
      <patternFill patternType="solid">
        <fgColor rgb="FFF0A500"/>
        <bgColor rgb="FFFFCC00"/>
      </patternFill>
    </fill>
    <fill>
      <patternFill patternType="solid">
        <fgColor rgb="FFF5F5F5"/>
        <bgColor rgb="FFF0FAF0"/>
      </patternFill>
    </fill>
    <fill>
      <patternFill patternType="solid">
        <fgColor rgb="FFFFF9E6"/>
        <bgColor rgb="FFFFFFE0"/>
      </patternFill>
    </fill>
    <fill>
      <patternFill patternType="solid">
        <fgColor rgb="FFF0FAF0"/>
        <bgColor rgb="FFF5F5F5"/>
      </patternFill>
    </fill>
    <fill>
      <patternFill patternType="solid">
        <fgColor rgb="FFFFFEF0"/>
        <bgColor rgb="FFFFFFFF"/>
      </patternFill>
    </fill>
    <fill>
      <patternFill patternType="solid">
        <fgColor rgb="FFFFFFE0"/>
        <bgColor rgb="FFFFF9E6"/>
      </patternFill>
    </fill>
    <fill>
      <patternFill patternType="solid">
        <fgColor rgb="FFEBF4FF"/>
        <bgColor rgb="FFF5F5F5"/>
      </patternFill>
    </fill>
    <fill>
      <patternFill patternType="solid">
        <fgColor rgb="FFFFFFFF"/>
        <bgColor rgb="FFFFFEF0"/>
      </patternFill>
    </fill>
    <fill>
      <patternFill patternType="solid">
        <fgColor rgb="FF217346"/>
        <bgColor rgb="FF00808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0" fillId="10" borderId="1" xfId="0" applyFill="1" applyBorder="1"/>
    <xf numFmtId="14" fontId="0" fillId="0" borderId="1" xfId="0" applyNumberFormat="1" applyBorder="1"/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0" fontId="5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164" fontId="9" fillId="12" borderId="1" xfId="0" applyNumberFormat="1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right" vertical="center"/>
    </xf>
    <xf numFmtId="164" fontId="15" fillId="12" borderId="1" xfId="0" applyNumberFormat="1" applyFont="1" applyFill="1" applyBorder="1" applyAlignment="1">
      <alignment horizontal="right" vertical="center"/>
    </xf>
    <xf numFmtId="0" fontId="16" fillId="12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4" fontId="6" fillId="12" borderId="1" xfId="0" applyNumberFormat="1" applyFont="1" applyFill="1" applyBorder="1" applyAlignment="1">
      <alignment horizontal="right" vertical="center"/>
    </xf>
    <xf numFmtId="164" fontId="2" fillId="13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12" borderId="1" xfId="0" applyFont="1" applyFill="1" applyBorder="1" applyAlignment="1">
      <alignment horizontal="right" vertical="center" wrapText="1"/>
    </xf>
    <xf numFmtId="0" fontId="19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right" vertical="center" wrapText="1"/>
    </xf>
    <xf numFmtId="0" fontId="19" fillId="1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3" fillId="10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5" fillId="12" borderId="1" xfId="0" applyFont="1" applyFill="1" applyBorder="1"/>
    <xf numFmtId="0" fontId="17" fillId="2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217346"/>
      <rgbColor rgb="FFC0C0C0"/>
      <rgbColor rgb="FF888888"/>
      <rgbColor rgb="FF9999FF"/>
      <rgbColor rgb="FF993366"/>
      <rgbColor rgb="FFFFFFE0"/>
      <rgbColor rgb="FFD6E8F7"/>
      <rgbColor rgb="FF660066"/>
      <rgbColor rgb="FFFF8080"/>
      <rgbColor rgb="FF1E6BA8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F"/>
      <rgbColor rgb="FFF0FAF0"/>
      <rgbColor rgb="FFFFF9E6"/>
      <rgbColor rgb="FF99CCFF"/>
      <rgbColor rgb="FFFF99CC"/>
      <rgbColor rgb="FFCC99FF"/>
      <rgbColor rgb="FFFFFEF0"/>
      <rgbColor rgb="FF3366FF"/>
      <rgbColor rgb="FF33CCCC"/>
      <rgbColor rgb="FF99CC00"/>
      <rgbColor rgb="FFFFCC00"/>
      <rgbColor rgb="FFF0A5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rightToLeft="1" zoomScaleNormal="100" workbookViewId="0">
      <selection activeCell="F8" sqref="F8"/>
    </sheetView>
  </sheetViews>
  <sheetFormatPr defaultColWidth="8.7109375" defaultRowHeight="15"/>
  <cols>
    <col min="1" max="1" width="24.7109375" bestFit="1" customWidth="1"/>
    <col min="2" max="2" width="35" customWidth="1"/>
    <col min="3" max="3" width="18" customWidth="1"/>
    <col min="4" max="4" width="20" customWidth="1"/>
    <col min="5" max="5" width="21.5703125" bestFit="1" customWidth="1"/>
    <col min="6" max="6" width="55.85546875" bestFit="1" customWidth="1"/>
  </cols>
  <sheetData>
    <row r="1" spans="1:6" ht="26.25">
      <c r="A1" s="43" t="s">
        <v>0</v>
      </c>
      <c r="B1" s="43"/>
      <c r="C1" s="43"/>
      <c r="D1" s="43"/>
      <c r="E1" s="43"/>
      <c r="F1" s="43"/>
    </row>
    <row r="2" spans="1:6" ht="16.5">
      <c r="A2" s="44" t="s">
        <v>1</v>
      </c>
      <c r="B2" s="44"/>
      <c r="C2" s="44"/>
      <c r="D2" s="44"/>
      <c r="E2" s="44"/>
      <c r="F2" s="44"/>
    </row>
    <row r="3" spans="1:6">
      <c r="A3" s="45" t="s">
        <v>2</v>
      </c>
      <c r="B3" s="45"/>
      <c r="C3" s="45"/>
      <c r="D3" s="45"/>
      <c r="E3" s="45"/>
      <c r="F3" s="45"/>
    </row>
    <row r="5" spans="1:6" ht="39.7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7.75" customHeight="1">
      <c r="A6" s="2" t="s">
        <v>9</v>
      </c>
      <c r="B6" s="2" t="s">
        <v>10</v>
      </c>
      <c r="C6" s="3" t="s">
        <v>11</v>
      </c>
      <c r="D6" s="4">
        <v>50000</v>
      </c>
      <c r="E6" s="3" t="s">
        <v>12</v>
      </c>
      <c r="F6" s="2" t="s">
        <v>13</v>
      </c>
    </row>
    <row r="7" spans="1:6" ht="27.75" customHeight="1">
      <c r="A7" s="5" t="s">
        <v>14</v>
      </c>
      <c r="B7" s="5" t="s">
        <v>15</v>
      </c>
      <c r="C7" s="6" t="s">
        <v>16</v>
      </c>
      <c r="D7" s="7">
        <v>100</v>
      </c>
      <c r="E7" s="6" t="s">
        <v>12</v>
      </c>
      <c r="F7" s="5" t="s">
        <v>17</v>
      </c>
    </row>
    <row r="8" spans="1:6" ht="27.75" customHeight="1">
      <c r="A8" s="2" t="s">
        <v>18</v>
      </c>
      <c r="B8" s="2" t="s">
        <v>19</v>
      </c>
      <c r="C8" s="3" t="s">
        <v>16</v>
      </c>
      <c r="D8" s="4">
        <v>150</v>
      </c>
      <c r="E8" s="3" t="s">
        <v>12</v>
      </c>
      <c r="F8" s="2" t="s">
        <v>166</v>
      </c>
    </row>
    <row r="9" spans="1:6" ht="27.75" customHeight="1">
      <c r="A9" s="5" t="s">
        <v>20</v>
      </c>
      <c r="B9" s="5" t="s">
        <v>21</v>
      </c>
      <c r="C9" s="6" t="s">
        <v>16</v>
      </c>
      <c r="D9" s="7">
        <v>150</v>
      </c>
      <c r="E9" s="6" t="s">
        <v>12</v>
      </c>
      <c r="F9" s="5" t="s">
        <v>166</v>
      </c>
    </row>
    <row r="10" spans="1:6" ht="27.75" customHeight="1">
      <c r="A10" s="2" t="s">
        <v>22</v>
      </c>
      <c r="B10" s="2" t="s">
        <v>23</v>
      </c>
      <c r="C10" s="3" t="s">
        <v>16</v>
      </c>
      <c r="D10" s="4">
        <v>150</v>
      </c>
      <c r="E10" s="3" t="s">
        <v>12</v>
      </c>
      <c r="F10" s="2" t="s">
        <v>166</v>
      </c>
    </row>
    <row r="11" spans="1:6" ht="27.75" customHeight="1">
      <c r="A11" s="5" t="s">
        <v>24</v>
      </c>
      <c r="B11" s="5" t="s">
        <v>25</v>
      </c>
      <c r="C11" s="6" t="s">
        <v>26</v>
      </c>
      <c r="D11" s="7">
        <v>250</v>
      </c>
      <c r="E11" s="6" t="s">
        <v>12</v>
      </c>
      <c r="F11" s="5" t="s">
        <v>27</v>
      </c>
    </row>
    <row r="12" spans="1:6" ht="27.75" customHeight="1">
      <c r="A12" s="2" t="s">
        <v>28</v>
      </c>
      <c r="B12" s="2" t="s">
        <v>29</v>
      </c>
      <c r="C12" s="3" t="s">
        <v>30</v>
      </c>
      <c r="D12" s="4">
        <v>18</v>
      </c>
      <c r="E12" s="3" t="s">
        <v>12</v>
      </c>
      <c r="F12" s="2" t="s">
        <v>31</v>
      </c>
    </row>
    <row r="13" spans="1:6" ht="27.75" customHeight="1">
      <c r="A13" s="8" t="s">
        <v>32</v>
      </c>
      <c r="B13" s="8" t="s">
        <v>33</v>
      </c>
      <c r="C13" s="9" t="s">
        <v>11</v>
      </c>
      <c r="D13" s="10">
        <v>0</v>
      </c>
      <c r="E13" s="9" t="s">
        <v>34</v>
      </c>
      <c r="F13" s="8" t="s">
        <v>35</v>
      </c>
    </row>
    <row r="14" spans="1:6" ht="27.75" customHeight="1">
      <c r="A14" s="8" t="s">
        <v>32</v>
      </c>
      <c r="B14" s="8" t="s">
        <v>36</v>
      </c>
      <c r="C14" s="9" t="s">
        <v>37</v>
      </c>
      <c r="D14" s="10">
        <v>30000</v>
      </c>
      <c r="E14" s="9" t="s">
        <v>12</v>
      </c>
      <c r="F14" s="8" t="s">
        <v>38</v>
      </c>
    </row>
    <row r="15" spans="1:6" ht="27.75" customHeight="1">
      <c r="A15" s="8" t="s">
        <v>32</v>
      </c>
      <c r="B15" s="8" t="s">
        <v>39</v>
      </c>
      <c r="C15" s="9" t="s">
        <v>37</v>
      </c>
      <c r="D15" s="10">
        <v>65000</v>
      </c>
      <c r="E15" s="9" t="s">
        <v>12</v>
      </c>
      <c r="F15" s="8" t="s">
        <v>38</v>
      </c>
    </row>
    <row r="16" spans="1:6" ht="27.75" customHeight="1">
      <c r="A16" s="8" t="s">
        <v>32</v>
      </c>
      <c r="B16" s="8" t="s">
        <v>40</v>
      </c>
      <c r="C16" s="9" t="s">
        <v>37</v>
      </c>
      <c r="D16" s="10">
        <v>122500</v>
      </c>
      <c r="E16" s="9" t="s">
        <v>12</v>
      </c>
      <c r="F16" s="8" t="s">
        <v>38</v>
      </c>
    </row>
    <row r="17" spans="1:6" ht="27.75" customHeight="1">
      <c r="A17" s="8" t="s">
        <v>32</v>
      </c>
      <c r="B17" s="8" t="s">
        <v>41</v>
      </c>
      <c r="C17" s="9" t="s">
        <v>37</v>
      </c>
      <c r="D17" s="10">
        <v>175000</v>
      </c>
      <c r="E17" s="9" t="s">
        <v>12</v>
      </c>
      <c r="F17" s="8" t="s">
        <v>38</v>
      </c>
    </row>
    <row r="18" spans="1:6" ht="27.75" customHeight="1">
      <c r="A18" s="5" t="s">
        <v>42</v>
      </c>
      <c r="B18" s="5" t="s">
        <v>43</v>
      </c>
      <c r="C18" s="6" t="s">
        <v>44</v>
      </c>
      <c r="D18" s="7">
        <v>175</v>
      </c>
      <c r="E18" s="6" t="s">
        <v>12</v>
      </c>
      <c r="F18" s="5" t="s">
        <v>45</v>
      </c>
    </row>
    <row r="19" spans="1:6" ht="27.75" customHeight="1">
      <c r="A19" s="11" t="s">
        <v>46</v>
      </c>
      <c r="B19" s="11" t="s">
        <v>47</v>
      </c>
      <c r="C19" s="12" t="s">
        <v>48</v>
      </c>
      <c r="D19" s="13">
        <v>10000</v>
      </c>
      <c r="E19" s="12" t="s">
        <v>34</v>
      </c>
      <c r="F19" s="11" t="s">
        <v>49</v>
      </c>
    </row>
    <row r="20" spans="1:6" ht="27.75" customHeight="1">
      <c r="A20" s="11" t="s">
        <v>46</v>
      </c>
      <c r="B20" s="11" t="s">
        <v>50</v>
      </c>
      <c r="C20" s="12" t="s">
        <v>48</v>
      </c>
      <c r="D20" s="13">
        <v>2250</v>
      </c>
      <c r="E20" s="12" t="s">
        <v>34</v>
      </c>
      <c r="F20" s="11" t="s">
        <v>49</v>
      </c>
    </row>
    <row r="21" spans="1:6" ht="27.75" customHeight="1">
      <c r="A21" s="11" t="s">
        <v>46</v>
      </c>
      <c r="B21" s="11" t="s">
        <v>51</v>
      </c>
      <c r="C21" s="12" t="s">
        <v>48</v>
      </c>
      <c r="D21" s="13">
        <v>15000</v>
      </c>
      <c r="E21" s="12" t="s">
        <v>34</v>
      </c>
      <c r="F21" s="11" t="s">
        <v>49</v>
      </c>
    </row>
    <row r="23" spans="1:6" ht="15.75">
      <c r="A23" s="46" t="s">
        <v>52</v>
      </c>
      <c r="B23" s="46"/>
      <c r="C23" s="46"/>
      <c r="D23" s="46"/>
      <c r="E23" s="46"/>
      <c r="F23" s="46"/>
    </row>
    <row r="24" spans="1:6">
      <c r="A24" s="47" t="s">
        <v>53</v>
      </c>
      <c r="B24" s="47"/>
      <c r="C24" s="47"/>
      <c r="D24" s="47"/>
      <c r="E24" s="47"/>
      <c r="F24" s="47"/>
    </row>
    <row r="25" spans="1:6">
      <c r="A25" s="47" t="s">
        <v>54</v>
      </c>
      <c r="B25" s="47"/>
      <c r="C25" s="47"/>
      <c r="D25" s="47"/>
      <c r="E25" s="47"/>
      <c r="F25" s="47"/>
    </row>
    <row r="26" spans="1:6">
      <c r="A26" s="47" t="s">
        <v>55</v>
      </c>
      <c r="B26" s="47"/>
      <c r="C26" s="47"/>
      <c r="D26" s="47"/>
      <c r="E26" s="47"/>
      <c r="F26" s="47"/>
    </row>
    <row r="27" spans="1:6">
      <c r="A27" s="47" t="s">
        <v>56</v>
      </c>
      <c r="B27" s="47"/>
      <c r="C27" s="47"/>
      <c r="D27" s="47"/>
      <c r="E27" s="47"/>
      <c r="F27" s="47"/>
    </row>
    <row r="28" spans="1:6">
      <c r="A28" s="47" t="s">
        <v>57</v>
      </c>
      <c r="B28" s="47"/>
      <c r="C28" s="47"/>
      <c r="D28" s="47"/>
      <c r="E28" s="47"/>
      <c r="F28" s="47"/>
    </row>
    <row r="30" spans="1:6">
      <c r="A30" s="48" t="s">
        <v>58</v>
      </c>
      <c r="B30" s="48"/>
      <c r="C30" s="48"/>
      <c r="D30" s="48"/>
      <c r="E30" s="48"/>
      <c r="F30" s="48"/>
    </row>
  </sheetData>
  <mergeCells count="10">
    <mergeCell ref="A25:F25"/>
    <mergeCell ref="A26:F26"/>
    <mergeCell ref="A27:F27"/>
    <mergeCell ref="A28:F28"/>
    <mergeCell ref="A30:F30"/>
    <mergeCell ref="A1:F1"/>
    <mergeCell ref="A2:F2"/>
    <mergeCell ref="A3:F3"/>
    <mergeCell ref="A23:F23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rightToLeft="1" topLeftCell="A3" zoomScaleNormal="100" workbookViewId="0">
      <selection activeCell="A10" sqref="A10"/>
    </sheetView>
  </sheetViews>
  <sheetFormatPr defaultColWidth="8.7109375" defaultRowHeight="15"/>
  <cols>
    <col min="1" max="1" width="44.140625" bestFit="1" customWidth="1"/>
    <col min="2" max="2" width="16" customWidth="1"/>
    <col min="3" max="3" width="10" customWidth="1"/>
    <col min="4" max="4" width="25" customWidth="1"/>
    <col min="5" max="5" width="22" customWidth="1"/>
    <col min="6" max="6" width="26" customWidth="1"/>
  </cols>
  <sheetData>
    <row r="1" spans="1:6" ht="23.25">
      <c r="A1" s="49" t="s">
        <v>59</v>
      </c>
      <c r="B1" s="49"/>
      <c r="C1" s="49"/>
      <c r="D1" s="49"/>
      <c r="E1" s="49"/>
      <c r="F1" s="49"/>
    </row>
    <row r="2" spans="1:6">
      <c r="A2" s="45" t="s">
        <v>60</v>
      </c>
      <c r="B2" s="45"/>
      <c r="C2" s="45"/>
      <c r="D2" s="45"/>
      <c r="E2" s="45"/>
      <c r="F2" s="45"/>
    </row>
    <row r="4" spans="1:6">
      <c r="A4" s="14" t="s">
        <v>61</v>
      </c>
      <c r="B4" s="15"/>
      <c r="D4" s="14" t="s">
        <v>62</v>
      </c>
      <c r="E4" s="16">
        <f ca="1">TODAY()</f>
        <v>46124</v>
      </c>
    </row>
    <row r="5" spans="1:6">
      <c r="A5" s="14" t="s">
        <v>63</v>
      </c>
      <c r="B5" s="50" t="s">
        <v>64</v>
      </c>
      <c r="C5" s="50"/>
    </row>
    <row r="7" spans="1:6" ht="39.75" customHeight="1">
      <c r="A7" s="17" t="s">
        <v>65</v>
      </c>
      <c r="B7" s="17" t="s">
        <v>5</v>
      </c>
      <c r="C7" s="17" t="s">
        <v>66</v>
      </c>
      <c r="D7" s="17" t="s">
        <v>67</v>
      </c>
      <c r="E7" s="17" t="s">
        <v>68</v>
      </c>
      <c r="F7" s="17" t="s">
        <v>69</v>
      </c>
    </row>
    <row r="8" spans="1:6" ht="24.75" customHeight="1">
      <c r="A8" s="18" t="s">
        <v>10</v>
      </c>
      <c r="B8" s="6" t="s">
        <v>11</v>
      </c>
      <c r="C8" s="19">
        <v>1</v>
      </c>
      <c r="D8" s="20">
        <v>50000</v>
      </c>
      <c r="E8" s="21">
        <f t="shared" ref="E8:E19" si="0">C8*D8</f>
        <v>50000</v>
      </c>
      <c r="F8" s="22">
        <f t="shared" ref="F8:F16" si="1">E8*0.2</f>
        <v>10000</v>
      </c>
    </row>
    <row r="9" spans="1:6" ht="24.75" customHeight="1">
      <c r="A9" s="23" t="s">
        <v>15</v>
      </c>
      <c r="B9" s="24" t="s">
        <v>70</v>
      </c>
      <c r="C9" s="19">
        <v>150</v>
      </c>
      <c r="D9" s="25">
        <v>100</v>
      </c>
      <c r="E9" s="26">
        <f t="shared" si="0"/>
        <v>15000</v>
      </c>
      <c r="F9" s="27">
        <f t="shared" si="1"/>
        <v>3000</v>
      </c>
    </row>
    <row r="10" spans="1:6" ht="24.75" customHeight="1">
      <c r="A10" s="18" t="s">
        <v>19</v>
      </c>
      <c r="B10" s="6" t="s">
        <v>70</v>
      </c>
      <c r="C10" s="19">
        <v>150</v>
      </c>
      <c r="D10" s="20">
        <v>150</v>
      </c>
      <c r="E10" s="21">
        <f t="shared" si="0"/>
        <v>22500</v>
      </c>
      <c r="F10" s="22">
        <f t="shared" si="1"/>
        <v>4500</v>
      </c>
    </row>
    <row r="11" spans="1:6" ht="24.75" customHeight="1">
      <c r="A11" s="23" t="s">
        <v>21</v>
      </c>
      <c r="B11" s="24" t="s">
        <v>70</v>
      </c>
      <c r="C11" s="19">
        <v>0</v>
      </c>
      <c r="D11" s="25">
        <v>150</v>
      </c>
      <c r="E11" s="26">
        <f t="shared" si="0"/>
        <v>0</v>
      </c>
      <c r="F11" s="27">
        <f t="shared" si="1"/>
        <v>0</v>
      </c>
    </row>
    <row r="12" spans="1:6" ht="24.75" customHeight="1">
      <c r="A12" s="18" t="s">
        <v>23</v>
      </c>
      <c r="B12" s="6" t="s">
        <v>70</v>
      </c>
      <c r="C12" s="19">
        <v>0</v>
      </c>
      <c r="D12" s="20">
        <v>150</v>
      </c>
      <c r="E12" s="21">
        <f t="shared" si="0"/>
        <v>0</v>
      </c>
      <c r="F12" s="22">
        <f t="shared" si="1"/>
        <v>0</v>
      </c>
    </row>
    <row r="13" spans="1:6" ht="24.75" customHeight="1">
      <c r="A13" s="23" t="s">
        <v>25</v>
      </c>
      <c r="B13" s="24" t="s">
        <v>24</v>
      </c>
      <c r="C13" s="19">
        <v>0</v>
      </c>
      <c r="D13" s="25">
        <v>250</v>
      </c>
      <c r="E13" s="26">
        <f t="shared" si="0"/>
        <v>0</v>
      </c>
      <c r="F13" s="27">
        <f t="shared" si="1"/>
        <v>0</v>
      </c>
    </row>
    <row r="14" spans="1:6" ht="24.75" customHeight="1">
      <c r="A14" s="18" t="s">
        <v>167</v>
      </c>
      <c r="B14" s="6" t="s">
        <v>71</v>
      </c>
      <c r="C14" s="19">
        <v>4000</v>
      </c>
      <c r="D14" s="20">
        <v>10</v>
      </c>
      <c r="E14" s="21">
        <f t="shared" si="0"/>
        <v>40000</v>
      </c>
      <c r="F14" s="22">
        <f t="shared" si="1"/>
        <v>8000</v>
      </c>
    </row>
    <row r="15" spans="1:6" ht="24.75" customHeight="1">
      <c r="A15" s="23" t="s">
        <v>72</v>
      </c>
      <c r="B15" s="24" t="s">
        <v>37</v>
      </c>
      <c r="C15" s="19">
        <v>0</v>
      </c>
      <c r="D15" s="25">
        <v>0</v>
      </c>
      <c r="E15" s="26">
        <f t="shared" si="0"/>
        <v>0</v>
      </c>
      <c r="F15" s="27">
        <f t="shared" si="1"/>
        <v>0</v>
      </c>
    </row>
    <row r="16" spans="1:6" ht="24.75" customHeight="1">
      <c r="A16" s="18" t="s">
        <v>43</v>
      </c>
      <c r="B16" s="6" t="s">
        <v>73</v>
      </c>
      <c r="C16" s="19">
        <v>10</v>
      </c>
      <c r="D16" s="20">
        <v>150</v>
      </c>
      <c r="E16" s="21">
        <f t="shared" si="0"/>
        <v>1500</v>
      </c>
      <c r="F16" s="22">
        <f t="shared" si="1"/>
        <v>300</v>
      </c>
    </row>
    <row r="17" spans="1:7" ht="24.75" customHeight="1">
      <c r="A17" s="23" t="s">
        <v>47</v>
      </c>
      <c r="B17" s="24" t="s">
        <v>48</v>
      </c>
      <c r="C17" s="19">
        <v>1</v>
      </c>
      <c r="D17" s="25">
        <v>10000</v>
      </c>
      <c r="E17" s="26">
        <f t="shared" si="0"/>
        <v>10000</v>
      </c>
      <c r="F17" s="28" t="s">
        <v>34</v>
      </c>
    </row>
    <row r="18" spans="1:7" ht="24.75" customHeight="1">
      <c r="A18" s="18" t="s">
        <v>50</v>
      </c>
      <c r="B18" s="6" t="s">
        <v>48</v>
      </c>
      <c r="C18" s="19">
        <v>1</v>
      </c>
      <c r="D18" s="20">
        <v>2250</v>
      </c>
      <c r="E18" s="21">
        <f t="shared" si="0"/>
        <v>2250</v>
      </c>
      <c r="F18" s="29" t="s">
        <v>34</v>
      </c>
    </row>
    <row r="19" spans="1:7" ht="24.75" customHeight="1">
      <c r="A19" s="23" t="s">
        <v>51</v>
      </c>
      <c r="B19" s="24" t="s">
        <v>48</v>
      </c>
      <c r="C19" s="19">
        <v>1</v>
      </c>
      <c r="D19" s="25">
        <v>15000</v>
      </c>
      <c r="E19" s="26">
        <f t="shared" si="0"/>
        <v>15000</v>
      </c>
      <c r="F19" s="28" t="s">
        <v>34</v>
      </c>
    </row>
    <row r="20" spans="1:7" ht="31.5" customHeight="1">
      <c r="A20" s="51" t="s">
        <v>74</v>
      </c>
      <c r="B20" s="51"/>
      <c r="C20" s="51"/>
      <c r="D20" s="51"/>
      <c r="E20" s="30">
        <f>SUM(E8:E19)</f>
        <v>156250</v>
      </c>
      <c r="F20" s="30">
        <f>IFERROR(SUM(F8,F9,F10,F11,F12,F13,F14,F15,F16),0)</f>
        <v>25800</v>
      </c>
    </row>
    <row r="22" spans="1:7" ht="16.5">
      <c r="A22" s="44" t="s">
        <v>75</v>
      </c>
      <c r="B22" s="44"/>
      <c r="C22" s="44"/>
      <c r="D22" s="44"/>
      <c r="E22" s="44"/>
      <c r="F22" s="44"/>
    </row>
    <row r="23" spans="1:7">
      <c r="A23" s="53" t="s">
        <v>76</v>
      </c>
      <c r="B23" s="53"/>
      <c r="C23" s="53"/>
      <c r="D23" s="53"/>
      <c r="E23" s="31">
        <f>E20</f>
        <v>156250</v>
      </c>
    </row>
    <row r="24" spans="1:7">
      <c r="A24" s="54" t="s">
        <v>77</v>
      </c>
      <c r="B24" s="54"/>
      <c r="C24" s="54"/>
      <c r="D24" s="54"/>
      <c r="E24" s="32">
        <f>F20</f>
        <v>25800</v>
      </c>
    </row>
    <row r="25" spans="1:7">
      <c r="A25" s="53" t="s">
        <v>78</v>
      </c>
      <c r="B25" s="53"/>
      <c r="C25" s="53"/>
      <c r="D25" s="53"/>
      <c r="E25" s="31">
        <f>F20</f>
        <v>25800</v>
      </c>
    </row>
    <row r="26" spans="1:7">
      <c r="A26" s="54" t="s">
        <v>79</v>
      </c>
      <c r="B26" s="54"/>
      <c r="C26" s="54"/>
      <c r="D26" s="54"/>
      <c r="E26" s="32">
        <f>F20</f>
        <v>25800</v>
      </c>
    </row>
    <row r="27" spans="1:7">
      <c r="A27" s="53" t="s">
        <v>80</v>
      </c>
      <c r="B27" s="53"/>
      <c r="C27" s="53"/>
      <c r="D27" s="53"/>
      <c r="E27" s="31">
        <f>F20</f>
        <v>25800</v>
      </c>
    </row>
    <row r="28" spans="1:7" ht="30" customHeight="1">
      <c r="A28" s="52" t="s">
        <v>81</v>
      </c>
      <c r="B28" s="52"/>
      <c r="C28" s="52"/>
      <c r="D28" s="52"/>
      <c r="E28" s="33">
        <f>E23+E24+E25+E26+E27</f>
        <v>259450</v>
      </c>
    </row>
    <row r="30" spans="1:7">
      <c r="A30" s="48" t="s">
        <v>58</v>
      </c>
      <c r="B30" s="48"/>
      <c r="C30" s="48"/>
      <c r="D30" s="48"/>
      <c r="E30" s="48"/>
      <c r="F30" s="48"/>
      <c r="G30" s="48"/>
    </row>
  </sheetData>
  <mergeCells count="12">
    <mergeCell ref="A28:D28"/>
    <mergeCell ref="A30:G30"/>
    <mergeCell ref="A23:D23"/>
    <mergeCell ref="A24:D24"/>
    <mergeCell ref="A25:D25"/>
    <mergeCell ref="A26:D26"/>
    <mergeCell ref="A27:D27"/>
    <mergeCell ref="A1:F1"/>
    <mergeCell ref="A2:F2"/>
    <mergeCell ref="B5:C5"/>
    <mergeCell ref="A20:D20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rightToLeft="1" zoomScaleNormal="100" workbookViewId="0">
      <selection sqref="A1:E1"/>
    </sheetView>
  </sheetViews>
  <sheetFormatPr defaultColWidth="8.7109375" defaultRowHeight="15"/>
  <cols>
    <col min="1" max="1" width="35" customWidth="1"/>
    <col min="2" max="2" width="16" customWidth="1"/>
    <col min="3" max="3" width="30" customWidth="1"/>
    <col min="4" max="5" width="35" customWidth="1"/>
  </cols>
  <sheetData>
    <row r="1" spans="1:7" ht="20.25">
      <c r="A1" s="55" t="s">
        <v>82</v>
      </c>
      <c r="B1" s="55"/>
      <c r="C1" s="55"/>
      <c r="D1" s="55"/>
      <c r="E1" s="55"/>
    </row>
    <row r="2" spans="1:7">
      <c r="A2" s="45" t="s">
        <v>83</v>
      </c>
      <c r="B2" s="45"/>
      <c r="C2" s="45"/>
      <c r="D2" s="45"/>
      <c r="E2" s="45"/>
    </row>
    <row r="4" spans="1:7" ht="34.5" customHeight="1">
      <c r="A4" s="1" t="s">
        <v>84</v>
      </c>
      <c r="B4" s="1" t="s">
        <v>85</v>
      </c>
      <c r="C4" s="1" t="s">
        <v>86</v>
      </c>
      <c r="D4" s="1" t="s">
        <v>87</v>
      </c>
      <c r="E4" s="1" t="s">
        <v>8</v>
      </c>
    </row>
    <row r="5" spans="1:7" ht="45" customHeight="1">
      <c r="A5" s="34" t="s">
        <v>88</v>
      </c>
      <c r="B5" s="35" t="s">
        <v>89</v>
      </c>
      <c r="C5" s="35" t="s">
        <v>90</v>
      </c>
      <c r="D5" s="35" t="s">
        <v>91</v>
      </c>
      <c r="E5" s="35"/>
    </row>
    <row r="6" spans="1:7" ht="45" customHeight="1">
      <c r="A6" s="36" t="s">
        <v>92</v>
      </c>
      <c r="B6" s="37" t="s">
        <v>93</v>
      </c>
      <c r="C6" s="37" t="s">
        <v>94</v>
      </c>
      <c r="D6" s="37" t="s">
        <v>95</v>
      </c>
      <c r="E6" s="37" t="s">
        <v>96</v>
      </c>
    </row>
    <row r="7" spans="1:7" ht="45" customHeight="1">
      <c r="A7" s="34" t="s">
        <v>97</v>
      </c>
      <c r="B7" s="35" t="s">
        <v>93</v>
      </c>
      <c r="C7" s="35" t="s">
        <v>94</v>
      </c>
      <c r="D7" s="35" t="s">
        <v>95</v>
      </c>
      <c r="E7" s="35" t="s">
        <v>98</v>
      </c>
    </row>
    <row r="8" spans="1:7" ht="45" customHeight="1">
      <c r="A8" s="36" t="s">
        <v>99</v>
      </c>
      <c r="B8" s="37" t="s">
        <v>93</v>
      </c>
      <c r="C8" s="37" t="s">
        <v>94</v>
      </c>
      <c r="D8" s="37" t="s">
        <v>100</v>
      </c>
      <c r="E8" s="37" t="s">
        <v>101</v>
      </c>
    </row>
    <row r="9" spans="1:7" ht="45" customHeight="1">
      <c r="A9" s="34" t="s">
        <v>102</v>
      </c>
      <c r="B9" s="35" t="s">
        <v>93</v>
      </c>
      <c r="C9" s="35" t="s">
        <v>94</v>
      </c>
      <c r="D9" s="35" t="s">
        <v>103</v>
      </c>
      <c r="E9" s="35" t="s">
        <v>104</v>
      </c>
    </row>
    <row r="10" spans="1:7" ht="45" customHeight="1">
      <c r="A10" s="36" t="s">
        <v>105</v>
      </c>
      <c r="B10" s="37" t="s">
        <v>93</v>
      </c>
      <c r="C10" s="37" t="s">
        <v>94</v>
      </c>
      <c r="D10" s="37" t="s">
        <v>103</v>
      </c>
      <c r="E10" s="37" t="s">
        <v>106</v>
      </c>
    </row>
    <row r="11" spans="1:7" ht="45" customHeight="1">
      <c r="A11" s="34" t="s">
        <v>107</v>
      </c>
      <c r="B11" s="35" t="s">
        <v>108</v>
      </c>
      <c r="C11" s="35" t="s">
        <v>109</v>
      </c>
      <c r="D11" s="35" t="s">
        <v>103</v>
      </c>
      <c r="E11" s="35" t="s">
        <v>110</v>
      </c>
    </row>
    <row r="13" spans="1:7" ht="34.5" customHeight="1">
      <c r="A13" s="56" t="s">
        <v>111</v>
      </c>
      <c r="B13" s="56"/>
      <c r="C13" s="56"/>
      <c r="D13" s="56"/>
      <c r="E13" s="56"/>
    </row>
    <row r="15" spans="1:7">
      <c r="A15" s="48" t="s">
        <v>58</v>
      </c>
      <c r="B15" s="48"/>
      <c r="C15" s="48"/>
      <c r="D15" s="48"/>
      <c r="E15" s="48"/>
      <c r="F15" s="48"/>
      <c r="G15" s="48"/>
    </row>
  </sheetData>
  <mergeCells count="4">
    <mergeCell ref="A1:E1"/>
    <mergeCell ref="A2:E2"/>
    <mergeCell ref="A13:E13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rightToLeft="1" tabSelected="1" zoomScaleNormal="100" workbookViewId="0">
      <selection activeCell="B7" sqref="B7"/>
    </sheetView>
  </sheetViews>
  <sheetFormatPr defaultColWidth="8.7109375" defaultRowHeight="15"/>
  <cols>
    <col min="1" max="1" width="25" customWidth="1"/>
    <col min="2" max="2" width="35" customWidth="1"/>
    <col min="3" max="3" width="30" customWidth="1"/>
    <col min="4" max="4" width="40" customWidth="1"/>
  </cols>
  <sheetData>
    <row r="1" spans="1:4" ht="20.25">
      <c r="A1" s="55" t="s">
        <v>112</v>
      </c>
      <c r="B1" s="55"/>
      <c r="C1" s="55"/>
      <c r="D1" s="55"/>
    </row>
    <row r="2" spans="1:4">
      <c r="A2" s="45" t="s">
        <v>113</v>
      </c>
      <c r="B2" s="45"/>
      <c r="C2" s="45"/>
      <c r="D2" s="45"/>
    </row>
    <row r="4" spans="1:4" ht="34.5" customHeight="1">
      <c r="A4" s="1" t="s">
        <v>3</v>
      </c>
      <c r="B4" s="1" t="s">
        <v>114</v>
      </c>
      <c r="C4" s="1" t="s">
        <v>115</v>
      </c>
      <c r="D4" s="1" t="s">
        <v>8</v>
      </c>
    </row>
    <row r="5" spans="1:4">
      <c r="A5" s="34" t="s">
        <v>116</v>
      </c>
      <c r="B5" s="38" t="s">
        <v>168</v>
      </c>
      <c r="C5" s="38" t="s">
        <v>117</v>
      </c>
      <c r="D5" s="38"/>
    </row>
    <row r="6" spans="1:4" ht="30" customHeight="1">
      <c r="A6" s="36" t="s">
        <v>118</v>
      </c>
      <c r="B6" s="39" t="s">
        <v>169</v>
      </c>
      <c r="C6" s="39" t="s">
        <v>119</v>
      </c>
      <c r="D6" s="39"/>
    </row>
    <row r="7" spans="1:4" ht="30" customHeight="1">
      <c r="A7" s="34" t="s">
        <v>120</v>
      </c>
      <c r="B7" s="38" t="s">
        <v>170</v>
      </c>
      <c r="C7" s="38" t="s">
        <v>121</v>
      </c>
      <c r="D7" s="38"/>
    </row>
    <row r="8" spans="1:4" ht="30" customHeight="1">
      <c r="A8" s="36" t="s">
        <v>122</v>
      </c>
      <c r="B8" s="39" t="s">
        <v>171</v>
      </c>
      <c r="C8" s="39" t="s">
        <v>123</v>
      </c>
      <c r="D8" s="39" t="s">
        <v>172</v>
      </c>
    </row>
    <row r="9" spans="1:4" ht="30" customHeight="1">
      <c r="A9" s="34" t="s">
        <v>124</v>
      </c>
      <c r="B9" s="38" t="s">
        <v>173</v>
      </c>
      <c r="C9" s="38" t="s">
        <v>125</v>
      </c>
      <c r="D9" s="38" t="s">
        <v>172</v>
      </c>
    </row>
    <row r="10" spans="1:4" ht="30" customHeight="1">
      <c r="A10" s="36" t="s">
        <v>126</v>
      </c>
      <c r="B10" s="39" t="s">
        <v>127</v>
      </c>
      <c r="C10" s="39" t="s">
        <v>128</v>
      </c>
      <c r="D10" s="39"/>
    </row>
    <row r="11" spans="1:4" ht="30" customHeight="1">
      <c r="A11" s="34" t="s">
        <v>174</v>
      </c>
      <c r="B11" s="38" t="s">
        <v>175</v>
      </c>
      <c r="C11" s="38" t="s">
        <v>129</v>
      </c>
      <c r="D11" s="38" t="s">
        <v>176</v>
      </c>
    </row>
    <row r="12" spans="1:4" ht="30" customHeight="1">
      <c r="A12" s="36" t="s">
        <v>130</v>
      </c>
      <c r="B12" s="39" t="s">
        <v>131</v>
      </c>
      <c r="C12" s="39" t="s">
        <v>132</v>
      </c>
      <c r="D12" s="39" t="s">
        <v>177</v>
      </c>
    </row>
    <row r="13" spans="1:4" ht="30" customHeight="1">
      <c r="A13" s="34" t="s">
        <v>133</v>
      </c>
      <c r="B13" s="38" t="s">
        <v>178</v>
      </c>
      <c r="C13" s="38" t="s">
        <v>134</v>
      </c>
      <c r="D13" s="38" t="s">
        <v>135</v>
      </c>
    </row>
    <row r="14" spans="1:4" ht="30" customHeight="1">
      <c r="A14" s="36" t="s">
        <v>136</v>
      </c>
      <c r="B14" s="39" t="s">
        <v>137</v>
      </c>
      <c r="C14" s="39" t="s">
        <v>138</v>
      </c>
      <c r="D14" s="39"/>
    </row>
    <row r="15" spans="1:4" ht="30" customHeight="1">
      <c r="A15" s="34" t="s">
        <v>139</v>
      </c>
      <c r="B15" s="38" t="s">
        <v>140</v>
      </c>
      <c r="C15" s="38" t="s">
        <v>141</v>
      </c>
      <c r="D15" s="38" t="s">
        <v>142</v>
      </c>
    </row>
    <row r="17" spans="1:7">
      <c r="A17" s="48" t="s">
        <v>58</v>
      </c>
      <c r="B17" s="48"/>
      <c r="C17" s="48"/>
      <c r="D17" s="48"/>
      <c r="E17" s="48"/>
      <c r="F17" s="48"/>
      <c r="G17" s="48"/>
    </row>
  </sheetData>
  <mergeCells count="3">
    <mergeCell ref="A1:D1"/>
    <mergeCell ref="A2:D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rightToLeft="1" zoomScaleNormal="100" workbookViewId="0">
      <selection sqref="A1:C1"/>
    </sheetView>
  </sheetViews>
  <sheetFormatPr defaultColWidth="8.7109375" defaultRowHeight="15"/>
  <cols>
    <col min="1" max="1" width="24.5703125" bestFit="1" customWidth="1"/>
    <col min="2" max="2" width="58.7109375" bestFit="1" customWidth="1"/>
  </cols>
  <sheetData>
    <row r="1" spans="1:7" ht="20.25">
      <c r="A1" s="55" t="s">
        <v>143</v>
      </c>
      <c r="B1" s="55"/>
      <c r="C1" s="55"/>
    </row>
    <row r="3" spans="1:7" ht="30" customHeight="1">
      <c r="A3" s="40" t="s">
        <v>144</v>
      </c>
      <c r="B3" s="41" t="s">
        <v>145</v>
      </c>
    </row>
    <row r="4" spans="1:7" ht="30" customHeight="1">
      <c r="A4" s="42" t="s">
        <v>146</v>
      </c>
      <c r="B4" s="39" t="s">
        <v>147</v>
      </c>
    </row>
    <row r="5" spans="1:7" ht="30" customHeight="1">
      <c r="A5" s="40" t="s">
        <v>148</v>
      </c>
      <c r="B5" s="41" t="s">
        <v>149</v>
      </c>
    </row>
    <row r="6" spans="1:7" ht="30" customHeight="1">
      <c r="A6" s="42" t="s">
        <v>150</v>
      </c>
      <c r="B6" s="39" t="s">
        <v>151</v>
      </c>
    </row>
    <row r="7" spans="1:7" ht="30" customHeight="1">
      <c r="A7" s="40" t="s">
        <v>152</v>
      </c>
      <c r="B7" s="41" t="s">
        <v>153</v>
      </c>
    </row>
    <row r="8" spans="1:7" ht="30" customHeight="1">
      <c r="A8" s="42" t="s">
        <v>154</v>
      </c>
      <c r="B8" s="39" t="s">
        <v>155</v>
      </c>
    </row>
    <row r="9" spans="1:7" ht="30" customHeight="1">
      <c r="A9" s="40" t="s">
        <v>156</v>
      </c>
      <c r="B9" s="41" t="s">
        <v>157</v>
      </c>
    </row>
    <row r="10" spans="1:7" ht="30" customHeight="1">
      <c r="A10" s="42" t="s">
        <v>158</v>
      </c>
      <c r="B10" s="39" t="s">
        <v>159</v>
      </c>
    </row>
    <row r="11" spans="1:7" ht="30" customHeight="1">
      <c r="A11" s="40" t="s">
        <v>160</v>
      </c>
      <c r="B11" s="41" t="s">
        <v>161</v>
      </c>
    </row>
    <row r="12" spans="1:7" ht="30" customHeight="1">
      <c r="A12" s="42" t="s">
        <v>162</v>
      </c>
      <c r="B12" s="39" t="s">
        <v>163</v>
      </c>
    </row>
    <row r="13" spans="1:7" ht="30" customHeight="1">
      <c r="A13" s="40" t="s">
        <v>164</v>
      </c>
      <c r="B13" s="41" t="s">
        <v>165</v>
      </c>
    </row>
    <row r="15" spans="1:7">
      <c r="A15" s="48" t="s">
        <v>58</v>
      </c>
      <c r="B15" s="48"/>
      <c r="C15" s="48"/>
      <c r="D15" s="48"/>
      <c r="E15" s="48"/>
      <c r="F15" s="48"/>
      <c r="G15" s="48"/>
    </row>
  </sheetData>
  <mergeCells count="2">
    <mergeCell ref="A1:C1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מחירון מוצרים</vt:lpstr>
      <vt:lpstr>מחשבון פרויקט</vt:lpstr>
      <vt:lpstr>תשתיות HW</vt:lpstr>
      <vt:lpstr>אינטגרציות נתמכות</vt:lpstr>
      <vt:lpstr>תנאים ומדיניות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Shay Malka</cp:lastModifiedBy>
  <cp:revision>0</cp:revision>
  <dcterms:created xsi:type="dcterms:W3CDTF">2026-04-12T09:37:15Z</dcterms:created>
  <dcterms:modified xsi:type="dcterms:W3CDTF">2026-04-12T10:52:44Z</dcterms:modified>
  <dc:language>en-US</dc:language>
</cp:coreProperties>
</file>